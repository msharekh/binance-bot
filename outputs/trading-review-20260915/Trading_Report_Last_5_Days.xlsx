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b6efda4f3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c6ef1fde6437e"/>
    <x:sheet xmlns:r="http://schemas.openxmlformats.org/officeDocument/2006/relationships" name="Transactions" sheetId="2" r:id="Rab5e455184484b01"/>
    <x:sheet xmlns:r="http://schemas.openxmlformats.org/officeDocument/2006/relationships" name="Trade review" sheetId="3" r:id="R47bff745e7e643c8"/>
    <x:sheet xmlns:r="http://schemas.openxmlformats.org/officeDocument/2006/relationships" name="Daily summary" sheetId="4" r:id="Rab8b3d0110d94cbd"/>
    <x:sheet xmlns:r="http://schemas.openxmlformats.org/officeDocument/2006/relationships" name="Coin summary" sheetId="5" r:id="Rea919d96741f4ae3"/>
    <x:sheet xmlns:r="http://schemas.openxmlformats.org/officeDocument/2006/relationships" name="Market history" sheetId="6" r:id="Rd3f8fdee234941d3"/>
    <x:sheet xmlns:r="http://schemas.openxmlformats.org/officeDocument/2006/relationships" name="Control changes" sheetId="7" r:id="R30bdcd842ad84ce9"/>
    <x:sheet xmlns:r="http://schemas.openxmlformats.org/officeDocument/2006/relationships" name="Current positions" sheetId="8" r:id="Rdcb68edb735d4a3b"/>
    <x:sheet xmlns:r="http://schemas.openxmlformats.org/officeDocument/2006/relationships" name="Current settings" sheetId="9" r:id="Rd95d5d1197ba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0.00000000;[Red](0.00000000);0"/>
    <x:numFmt numFmtId="202" formatCode="0"/>
    <x:numFmt numFmtId="203" formatCode="0.0%"/>
    <x:numFmt numFmtId="204" formatCode="0.0000;[Red](0.0000)"/>
  </x:numFmts>
  <x:fonts count="5">
    <x:font>
      <x:sz val="11"/>
      <x:name val="Carlito"/>
    </x:font>
    <x:font>
      <x:b/>
      <x:sz val="15"/>
      <x:color rgb="FF183153"/>
      <x:name val="Arial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1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11fa9149b44ff" /><Relationship Type="http://schemas.openxmlformats.org/officeDocument/2006/relationships/theme" Target="/xl/theme/theme1.xml" Id="Rc981ed354bd2496e" /><Relationship Type="http://schemas.microsoft.com/office/2022/11/relationships/FeaturePropertyBag" Target="/xl/featurePropertyBag/featurePropertyBag.xml" Id="Rdc37debfe6ff4a03" /><Relationship Type="http://schemas.openxmlformats.org/officeDocument/2006/relationships/sharedStrings" Target="/xl/sharedStrings.xml" Id="R9f72d2f3e2634b7f" /><Relationship Type="http://schemas.openxmlformats.org/officeDocument/2006/relationships/worksheet" Target="/xl/worksheets/sheet1.xml" Id="R794c6ef1fde6437e" /><Relationship Type="http://schemas.openxmlformats.org/officeDocument/2006/relationships/worksheet" Target="/xl/worksheets/sheet2.xml" Id="Rab5e455184484b01" /><Relationship Type="http://schemas.openxmlformats.org/officeDocument/2006/relationships/worksheet" Target="/xl/worksheets/sheet3.xml" Id="R47bff745e7e643c8" /><Relationship Type="http://schemas.openxmlformats.org/officeDocument/2006/relationships/worksheet" Target="/xl/worksheets/sheet4.xml" Id="Rab8b3d0110d94cbd" /><Relationship Type="http://schemas.openxmlformats.org/officeDocument/2006/relationships/worksheet" Target="/xl/worksheets/sheet5.xml" Id="Rea919d96741f4ae3" /><Relationship Type="http://schemas.openxmlformats.org/officeDocument/2006/relationships/worksheet" Target="/xl/worksheets/sheet6.xml" Id="Rd3f8fdee234941d3" /><Relationship Type="http://schemas.openxmlformats.org/officeDocument/2006/relationships/worksheet" Target="/xl/worksheets/sheet7.xml" Id="R30bdcd842ad84ce9" /><Relationship Type="http://schemas.openxmlformats.org/officeDocument/2006/relationships/worksheet" Target="/xl/worksheets/sheet8.xml" Id="Rdcb68edb735d4a3b" /><Relationship Type="http://schemas.openxmlformats.org/officeDocument/2006/relationships/worksheet" Target="/xl/worksheets/sheet9.xml" Id="Rd95d5d1197ba46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actionsTable" displayName="TransactionsTable" ref="A5:AM327" headerRowCount="1" totalsRowCount="0" totalsRowShown="0">
  <x:tableColumns count="39">
    <x:tableColumn id="1" name="time_riyadh"/>
    <x:tableColumn id="2" name="symbol"/>
    <x:tableColumn id="3" name="side"/>
    <x:tableColumn id="4" name="order_id"/>
    <x:tableColumn id="5" name="quantity"/>
    <x:tableColumn id="6" name="price"/>
    <x:tableColumn id="7" name="quote_amount"/>
    <x:tableColumn id="8" name="estimated_pnl_usdt"/>
    <x:tableColumn id="9" name="net_pnl_usdt"/>
    <x:tableColumn id="10" name="pnl_basis"/>
    <x:tableColumn id="11" name="reason"/>
    <x:tableColumn id="12" name="environment"/>
    <x:tableColumn id="13" name="source_line"/>
    <x:tableColumn id="14" name="quote_asset"/>
    <x:tableColumn id="15" name="signal_candle_close_time"/>
    <x:tableColumn id="16" name="entry_conditions.rsi_recovered"/>
    <x:tableColumn id="17" name="entry_conditions.near_support"/>
    <x:tableColumn id="18" name="entry_conditions.trend_ok"/>
    <x:tableColumn id="19" name="entry_conditions.reward_ok"/>
    <x:tableColumn id="20" name="entry_conditions.stop_risk_ok"/>
    <x:tableColumn id="21" name="entry_conditions.momentum_ok"/>
    <x:tableColumn id="22" name="recorded_at"/>
    <x:tableColumn id="23" name="raw_json"/>
    <x:tableColumn id="24" name="has_recorded_net"/>
    <x:tableColumn id="25" name="time_utc"/>
    <x:tableColumn id="26" name="local_date"/>
    <x:tableColumn id="27" name="market_regime"/>
    <x:tableColumn id="28" name="market_snapshot_riyadh"/>
    <x:tableColumn id="29" name="market_snapshot_age_seconds"/>
    <x:tableColumn id="30" name="failed_entry_checks"/>
    <x:tableColumn id="31" name="commissions.USDT"/>
    <x:tableColumn id="32" name="commission_quote"/>
    <x:tableColumn id="33" name="commission_status"/>
    <x:tableColumn id="34" name="base_commission_quantity"/>
    <x:tableColumn id="35" name="base_commission_quote"/>
    <x:tableColumn id="36" name="pnl_status"/>
    <x:tableColumn id="37" name="remaining_quantity"/>
    <x:tableColumn id="38" name="remaining_cost_basis_quote"/>
    <x:tableColumn id="39" name="remaining_is_du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dereviewTable" displayName="TradereviewTable" ref="A5:X163" headerRowCount="1" totalsRowCount="0" totalsRowShown="0">
  <x:tableColumns count="24">
    <x:tableColumn id="1" name="exit_riyadh"/>
    <x:tableColumn id="2" name="symbol"/>
    <x:tableColumn id="3" name="reason"/>
    <x:tableColumn id="4" name="gross_pnl_recorded"/>
    <x:tableColumn id="5" name="net_pnl_recorded"/>
    <x:tableColumn id="6" name="pnl_basis"/>
    <x:tableColumn id="7" name="holding_minutes"/>
    <x:tableColumn id="8" name="match_status"/>
    <x:tableColumn id="9" name="environment"/>
    <x:tableColumn id="10" name="sell_order_id"/>
    <x:tableColumn id="11" name="buy_order_id"/>
    <x:tableColumn id="12" name="entry_riyadh"/>
    <x:tableColumn id="13" name="entry_price"/>
    <x:tableColumn id="14" name="exit_price"/>
    <x:tableColumn id="15" name="sold_quantity"/>
    <x:tableColumn id="16" name="entry_source_line"/>
    <x:tableColumn id="17" name="exit_source_line"/>
    <x:tableColumn id="18" name="entry_before_window"/>
    <x:tableColumn id="19" name="entry_conditions.rsi_recovered"/>
    <x:tableColumn id="20" name="entry_conditions.near_support"/>
    <x:tableColumn id="21" name="entry_conditions.trend_ok"/>
    <x:tableColumn id="22" name="entry_conditions.reward_ok"/>
    <x:tableColumn id="23" name="entry_conditions.stop_risk_ok"/>
    <x:tableColumn id="24" name="entry_conditions.momentum_o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ummaryTable" displayName="DailysummaryTable" ref="A5:I10" headerRowCount="1" totalsRowCount="0" totalsRowShown="0">
  <x:tableColumns count="9">
    <x:tableColumn id="1" name="Date"/>
    <x:tableColumn id="2" name="buys"/>
    <x:tableColumn id="3" name="sells"/>
    <x:tableColumn id="4" name="gross_pnl"/>
    <x:tableColumn id="5" name="known_net_pnl"/>
    <x:tableColumn id="6" name="net_records"/>
    <x:tableColumn id="7" name="gross_wins"/>
    <x:tableColumn id="8" name="gross_losses"/>
    <x:tableColumn id="9" name="gross_win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insummaryTable" displayName="CoinsummaryTable" ref="A5:I39" headerRowCount="1" totalsRowCount="0" totalsRowShown="0">
  <x:tableColumns count="9">
    <x:tableColumn id="1" name="Symbol"/>
    <x:tableColumn id="2" name="buys"/>
    <x:tableColumn id="3" name="sells"/>
    <x:tableColumn id="4" name="gross_pnl"/>
    <x:tableColumn id="5" name="known_net_pnl"/>
    <x:tableColumn id="6" name="net_records"/>
    <x:tableColumn id="7" name="gross_wins"/>
    <x:tableColumn id="8" name="gross_losses"/>
    <x:tableColumn id="9" name="gross_win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rkethistoryTable" displayName="MarkethistoryTable" ref="A5:N478" headerRowCount="1" totalsRowCount="0" totalsRowShown="0">
  <x:tableColumns count="14">
    <x:tableColumn id="1" name="time_riyadh"/>
    <x:tableColumn id="2" name="recorded_at"/>
    <x:tableColumn id="3" name="environment"/>
    <x:tableColumn id="4" name="regime"/>
    <x:tableColumn id="5" name="expectation"/>
    <x:tableColumn id="6" name="sample_size"/>
    <x:tableColumn id="7" name="up_pct"/>
    <x:tableColumn id="8" name="down_pct"/>
    <x:tableColumn id="9" name="active_pct"/>
    <x:tableColumn id="10" name="median_change_pct"/>
    <x:tableColumn id="11" name="median_range_pct"/>
    <x:tableColumn id="12" name="formula"/>
    <x:tableColumn id="13" name="source_line"/>
    <x:tableColumn id="14" name="raw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changesTable" displayName="ControlchangesTable" ref="A5:AK33" headerRowCount="1" totalsRowCount="0" totalsRowShown="0">
  <x:tableColumns count="37">
    <x:tableColumn id="1" name="time_riyadh"/>
    <x:tableColumn id="2" name="recorded_at"/>
    <x:tableColumn id="3" name="saved_at"/>
    <x:tableColumn id="4" name="event"/>
    <x:tableColumn id="5" name="changes.max_support_distance_pct.old"/>
    <x:tableColumn id="6" name="changes.max_support_distance_pct.new"/>
    <x:tableColumn id="7" name="changes.target_symbols.old"/>
    <x:tableColumn id="8" name="changes.target_symbols.new"/>
    <x:tableColumn id="9" name="summary"/>
    <x:tableColumn id="10" name="source_line"/>
    <x:tableColumn id="11" name="raw_json"/>
    <x:tableColumn id="12" name="changes.atr_sl_multiplier.old"/>
    <x:tableColumn id="13" name="changes.atr_sl_multiplier.new"/>
    <x:tableColumn id="14" name="changes.risk_reward_ratio.old"/>
    <x:tableColumn id="15" name="changes.risk_reward_ratio.new"/>
    <x:tableColumn id="16" name="changes.trade_amount_usdt.old"/>
    <x:tableColumn id="17" name="changes.trade_amount_usdt.new"/>
    <x:tableColumn id="18" name="changes.trend_interval.old"/>
    <x:tableColumn id="19" name="changes.trend_interval.new"/>
    <x:tableColumn id="20" name="changes.max_total_exposure_usdt.old"/>
    <x:tableColumn id="21" name="changes.max_total_exposure_usdt.new"/>
    <x:tableColumn id="22" name="changes.max_open_positions.old"/>
    <x:tableColumn id="23" name="changes.max_open_positions.new"/>
    <x:tableColumn id="24" name="changes.interval.old"/>
    <x:tableColumn id="25" name="changes.interval.new"/>
    <x:tableColumn id="26" name="changes.min_net_profit_usdt.old"/>
    <x:tableColumn id="27" name="changes.min_net_profit_usdt.new"/>
    <x:tableColumn id="28" name="changes.min_net_reward_pct.old"/>
    <x:tableColumn id="29" name="changes.min_net_reward_pct.new"/>
    <x:tableColumn id="30" name="changes.poll_seconds.old"/>
    <x:tableColumn id="31" name="changes.poll_seconds.new"/>
    <x:tableColumn id="32" name="changes.trend_ema_period.old"/>
    <x:tableColumn id="33" name="changes.trend_ema_period.new"/>
    <x:tableColumn id="34" name="changes.max_stop_distance_pct.old"/>
    <x:tableColumn id="35" name="changes.max_stop_distance_pct.new"/>
    <x:tableColumn id="36" name="changes.ignore_weak_market.old"/>
    <x:tableColumn id="37" name="changes.ignore_weak_market.ne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rrentpositionsTable" displayName="CurrentpositionsTable" ref="A5:Q9" headerRowCount="1" totalsRowCount="0" totalsRowShown="0">
  <x:tableColumns count="17">
    <x:tableColumn id="1" name="symbol"/>
    <x:tableColumn id="2" name="quantity"/>
    <x:tableColumn id="3" name="entry"/>
    <x:tableColumn id="4" name="stop_loss"/>
    <x:tableColumn id="5" name="take_profit"/>
    <x:tableColumn id="6" name="base_asset"/>
    <x:tableColumn id="7" name="quote_asset"/>
    <x:tableColumn id="8" name="order_id"/>
    <x:tableColumn id="9" name="strategy_take_profit"/>
    <x:tableColumn id="10" name="entry_conditions.rsi_recovered"/>
    <x:tableColumn id="11" name="entry_conditions.near_support"/>
    <x:tableColumn id="12" name="entry_conditions.trend_ok"/>
    <x:tableColumn id="13" name="entry_conditions.reward_ok"/>
    <x:tableColumn id="14" name="entry_conditions.stop_risk_ok"/>
    <x:tableColumn id="15" name="entry_conditions.momentum_ok"/>
    <x:tableColumn id="16" name="signal_candle_close_time"/>
    <x:tableColumn id="17" name="opened_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rrentsettingsTable" displayName="CurrentsettingsTable" ref="A5:B29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84432f4f29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175012796946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c36ffbe53f47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5230b69dec40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d06c00997a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bd27055ee145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3969853b8542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a00b0c0b21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</x:cols>
  <x:sheetData>
    <x:row r="2">
      <x:c r="A2" s="1" t="str">
        <x:v>Five-day trading review</x:v>
      </x:c>
    </x:row>
    <x:row r="5" ht="33" customHeight="1">
      <x:c r="A5" s="14" t="str">
        <x:v>Period start (Riyadh)</x:v>
      </x:c>
      <x:c r="B5" s="15" t="n">
        <x:v>46275.70648148148</x:v>
      </x:c>
    </x:row>
    <x:row r="6" ht="33" customHeight="1">
      <x:c r="A6" s="14" t="str">
        <x:v>Period end (Riyadh)</x:v>
      </x:c>
      <x:c r="B6" s="15" t="n">
        <x:v>46280.70648148148</x:v>
      </x:c>
    </x:row>
    <x:row r="7" ht="33" customHeight="1">
      <x:c r="A7" s="14" t="str">
        <x:v>Transactions</x:v>
      </x:c>
      <x:c r="B7" s="14" t="n">
        <x:v>322</x:v>
      </x:c>
    </x:row>
    <x:row r="8" ht="33" customHeight="1">
      <x:c r="A8" s="14" t="str">
        <x:v>Buy executions</x:v>
      </x:c>
      <x:c r="B8" s="14" t="n">
        <x:v>164</x:v>
      </x:c>
    </x:row>
    <x:row r="9" ht="33" customHeight="1">
      <x:c r="A9" s="14" t="str">
        <x:v>Sell executions</x:v>
      </x:c>
      <x:c r="B9" s="14" t="n">
        <x:v>158</x:v>
      </x:c>
    </x:row>
    <x:row r="10" ht="33" customHeight="1">
      <x:c r="A10" s="14" t="str">
        <x:v>Gross P&amp;L (USDT)</x:v>
      </x:c>
      <x:c r="B10" s="17" t="n">
        <x:f>SUM('Daily summary'!D6:D10)</x:f>
        <x:v>-5.499285323131806</x:v>
      </x:c>
    </x:row>
    <x:row r="11" ht="33" customHeight="1">
      <x:c r="A11" s="14" t="str">
        <x:v>Sells with recorded net P&amp;L</x:v>
      </x:c>
      <x:c r="B11" s="14" t="n">
        <x:v>0</x:v>
      </x:c>
    </x:row>
    <x:row r="12" ht="33" customHeight="1">
      <x:c r="A12" s="14" t="str">
        <x:v>Source parsing issues</x:v>
      </x:c>
      <x:c r="B12" s="14" t="n">
        <x:v>0</x:v>
      </x:c>
    </x:row>
    <x:row r="13" ht="33" customHeight="1">
      <x:c r="A13" s="14" t="str">
        <x:v>Period definition</x:v>
      </x:c>
      <x:c r="B13" s="16" t="str">
        <x:v>Rolling 120 hours ending at latest logged transaction; first and last calendar days may be partial.</x:v>
      </x:c>
    </x:row>
    <x:row r="14" ht="33" customHeight="1">
      <x:c r="A14" s="14" t="str">
        <x:v>Profit limitation</x:v>
      </x:c>
      <x:c r="B14" s="16" t="str">
        <x:v>Gross P&amp;L is the bot-recorded estimate before commissions. Blank net is unknown, not zero. No historical fee estimates were invented.</x:v>
      </x:c>
    </x:row>
    <x:row r="15" ht="33" customHeight="1">
      <x:c r="A15" s="14" t="str">
        <x:v>Trade matching</x:v>
      </x:c>
      <x:c r="B15" s="16" t="str">
        <x:v>Latest preceding BUY is shown for review. Multiple buys and missing entries are flagged; holding time for ambiguous matches is indicative.</x:v>
      </x:c>
    </x:row>
    <x:row r="16" ht="33" customHeight="1">
      <x:c r="A16" s="14" t="str">
        <x:v>Scope</x:v>
      </x:c>
      <x:c r="B16" s="16" t="str">
        <x:v>Production transaction file only. Testnet files excluded. All transaction fields and exact source JSON preserved.</x:v>
      </x:c>
    </x:row>
    <x:row r="17" ht="33" customHeight="1">
      <x:c r="A17" s="14" t="str">
        <x:v>Precision</x:v>
      </x:c>
      <x:c r="B17" s="16" t="str">
        <x:v>Numeric cells use Excel precision. Exact original decimal strings and identifiers remain in raw_json.</x:v>
      </x:c>
    </x:row>
    <x:row r="18" ht="33" customHeight="1">
      <x:c r="A18" s="14" t="str">
        <x:v>Missing history</x:v>
      </x:c>
      <x:c r="B18" s="16" t="str">
        <x:v>Historical per-coin indicators, order-book spreads, exchange fills and commissions are not available unless recorded in source rows.</x:v>
      </x:c>
    </x:row>
    <x:row r="19" ht="33" customHeight="1">
      <x:c r="A19" s="14" t="str">
        <x:v>Snapshot notes</x:v>
      </x:c>
      <x:c r="B19" s="16" t="str">
        <x:v>Current positions and settings were captured at export, not reconstructed at the period boundary.</x:v>
      </x:c>
    </x:row>
    <x:row r="20" ht="33" customHeight="1">
      <x:c r="A20" s="14" t="str">
        <x:v>Exported UTC</x:v>
      </x:c>
      <x:c r="B20" s="15" t="n">
        <x:v>46280.58165011574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2" hidden="0" customWidth="1"/>
    <x:col min="11" max="11" width="32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70" hidden="0" customWidth="1"/>
    <x:col min="24" max="24" width="20" hidden="0" customWidth="1"/>
    <x:col min="25" max="25" width="24" hidden="0" customWidth="1"/>
    <x:col min="26" max="26" width="20" hidden="0" customWidth="1"/>
    <x:col min="27" max="27" width="20" hidden="0" customWidth="1"/>
    <x:col min="28" max="28" width="24" hidden="0" customWidth="1"/>
    <x:col min="29" max="29" width="24" hidden="0" customWidth="1"/>
    <x:col min="30" max="30" width="32" hidden="0" customWidth="1"/>
    <x:col min="31" max="31" width="20" hidden="0" customWidth="1"/>
    <x:col min="32" max="32" width="20" hidden="0" customWidth="1"/>
    <x:col min="33" max="33" width="32" hidden="0" customWidth="1"/>
    <x:col min="34" max="34" width="20" hidden="0" customWidth="1"/>
    <x:col min="35" max="35" width="20" hidden="0" customWidth="1"/>
    <x:col min="36" max="36" width="32" hidden="0" customWidth="1"/>
    <x:col min="37" max="37" width="20" hidden="0" customWidth="1"/>
    <x:col min="38" max="38" width="32" hidden="0" customWidth="1"/>
    <x:col min="39" max="39" width="20" hidden="0" customWidth="1"/>
  </x:cols>
  <x:sheetData>
    <x:row r="2">
      <x:c r="A2" s="1" t="str">
        <x:v>Transactions</x:v>
      </x:c>
    </x:row>
    <x:row r="3">
      <x:c r="A3" t="str">
        <x:v>Source: transactions.jsonl. All original fields retained, including exact raw JSON.</x:v>
      </x:c>
    </x:row>
    <x:row r="5" ht="44" customHeight="1">
      <x:c r="A5" s="7" t="str">
        <x:v>time_riyadh</x:v>
      </x:c>
      <x:c r="B5" s="7" t="str">
        <x:v>symbol</x:v>
      </x:c>
      <x:c r="C5" s="7" t="str">
        <x:v>side</x:v>
      </x:c>
      <x:c r="D5" s="7" t="str">
        <x:v>order_id</x:v>
      </x:c>
      <x:c r="E5" s="7" t="str">
        <x:v>quantity</x:v>
      </x:c>
      <x:c r="F5" s="7" t="str">
        <x:v>price</x:v>
      </x:c>
      <x:c r="G5" s="7" t="str">
        <x:v>quote_amount</x:v>
      </x:c>
      <x:c r="H5" s="7" t="str">
        <x:v>estimated_pnl_usdt</x:v>
      </x:c>
      <x:c r="I5" s="7" t="str">
        <x:v>net_pnl_usdt</x:v>
      </x:c>
      <x:c r="J5" s="7" t="str">
        <x:v>pnl_basis</x:v>
      </x:c>
      <x:c r="K5" s="7" t="str">
        <x:v>reason</x:v>
      </x:c>
      <x:c r="L5" s="7" t="str">
        <x:v>environment</x:v>
      </x:c>
      <x:c r="M5" s="7" t="str">
        <x:v>source_line</x:v>
      </x:c>
      <x:c r="N5" s="7" t="str">
        <x:v>quote_asset</x:v>
      </x:c>
      <x:c r="O5" s="7" t="str">
        <x:v>signal_candle_close_time</x:v>
      </x:c>
      <x:c r="P5" s="7" t="str">
        <x:v>entry_conditions.rsi_recovered</x:v>
      </x:c>
      <x:c r="Q5" s="7" t="str">
        <x:v>entry_conditions.near_support</x:v>
      </x:c>
      <x:c r="R5" s="7" t="str">
        <x:v>entry_conditions.trend_ok</x:v>
      </x:c>
      <x:c r="S5" s="7" t="str">
        <x:v>entry_conditions.reward_ok</x:v>
      </x:c>
      <x:c r="T5" s="7" t="str">
        <x:v>entry_conditions.stop_risk_ok</x:v>
      </x:c>
      <x:c r="U5" s="7" t="str">
        <x:v>entry_conditions.momentum_ok</x:v>
      </x:c>
      <x:c r="V5" s="7" t="str">
        <x:v>recorded_at</x:v>
      </x:c>
      <x:c r="W5" s="7" t="str">
        <x:v>raw_json</x:v>
      </x:c>
      <x:c r="X5" s="7" t="str">
        <x:v>has_recorded_net</x:v>
      </x:c>
      <x:c r="Y5" s="7" t="str">
        <x:v>time_utc</x:v>
      </x:c>
      <x:c r="Z5" s="7" t="str">
        <x:v>local_date</x:v>
      </x:c>
      <x:c r="AA5" s="7" t="str">
        <x:v>market_regime</x:v>
      </x:c>
      <x:c r="AB5" s="7" t="str">
        <x:v>market_snapshot_riyadh</x:v>
      </x:c>
      <x:c r="AC5" s="7" t="str">
        <x:v>market_snapshot_age_seconds</x:v>
      </x:c>
      <x:c r="AD5" s="7" t="str">
        <x:v>failed_entry_checks</x:v>
      </x:c>
      <x:c r="AE5" s="7" t="str">
        <x:v>commissions.USDT</x:v>
      </x:c>
      <x:c r="AF5" s="7" t="str">
        <x:v>commission_quote</x:v>
      </x:c>
      <x:c r="AG5" s="7" t="str">
        <x:v>commission_status</x:v>
      </x:c>
      <x:c r="AH5" s="7" t="str">
        <x:v>base_commission_quantity</x:v>
      </x:c>
      <x:c r="AI5" s="7" t="str">
        <x:v>base_commission_quote</x:v>
      </x:c>
      <x:c r="AJ5" s="7" t="str">
        <x:v>pnl_status</x:v>
      </x:c>
      <x:c r="AK5" s="7" t="str">
        <x:v>remaining_quantity</x:v>
      </x:c>
      <x:c r="AL5" s="7" t="str">
        <x:v>remaining_cost_basis_quote</x:v>
      </x:c>
      <x:c r="AM5" s="7" t="str">
        <x:v>remaining_is_dust</x:v>
      </x:c>
    </x:row>
    <x:row r="6" ht="21" customHeight="1">
      <x:c r="A6" s="8" t="n">
        <x:v>46276.08336805556</x:v>
      </x:c>
      <x:c r="B6" s="3" t="str">
        <x:v>SNDKBUSDT</x:v>
      </x:c>
      <x:c r="C6" s="3" t="str">
        <x:v>BUY</x:v>
      </x:c>
      <x:c r="D6" s="3" t="str">
        <x:v>336780617</x:v>
      </x:c>
      <x:c r="E6" s="9" t="n">
        <x:v>0.0178</x:v>
      </x:c>
      <x:c r="F6" s="9" t="n">
        <x:v>1684.06</x:v>
      </x:c>
      <x:c r="G6" s="9" t="n">
        <x:v>29.976268</x:v>
      </x:c>
      <x:c r="H6" s="9"/>
      <x:c r="I6" s="3"/>
      <x:c r="J6" s="3" t="str">
        <x:v>gross only; actual fees not recorded</x:v>
      </x:c>
      <x:c r="K6" s="3" t="str">
        <x:v>dashboard manual buy</x:v>
      </x:c>
      <x:c r="L6" s="3" t="str">
        <x:v>production</x:v>
      </x:c>
      <x:c r="M6" s="10" t="n">
        <x:v>624</x:v>
      </x:c>
      <x:c r="N6" s="3" t="str">
        <x:v>USDT</x:v>
      </x:c>
      <x:c r="O6" s="9" t="n">
        <x:v>1789080299999</x:v>
      </x:c>
      <x:c r="P6" s="4" t="b">
        <x:v>1</x:v>
      </x:c>
      <x:c r="Q6" s="4" t="b">
        <x:v>1</x:v>
      </x:c>
      <x:c r="R6" s="4" t="b">
        <x:v>0</x:v>
      </x:c>
      <x:c r="S6" s="4" t="b">
        <x:v>1</x:v>
      </x:c>
      <x:c r="T6" s="4" t="b">
        <x:v>1</x:v>
      </x:c>
      <x:c r="U6" s="4" t="b">
        <x:v>0</x:v>
      </x:c>
      <x:c r="V6" s="10" t="n">
        <x:v>1789081203</x:v>
      </x:c>
      <x:c r="W6" s="3" t="str">
        <x:v>{"side": "BUY", "symbol": "SNDKBUSDT", "order_id": 336780617, "quantity": "0.01780000", "price": "1684.06", "quote_amount": "29.97626800", "quote_asset": "USDT", "signal_candle_close_time": 1789080299999, "reason": "dashboard manual buy", "entry_conditions": {"rsi_recovered": true, "near_support": true, "trend_ok": false, "reward_ok": true, "stop_risk_ok": true, "momentum_ok": false}, "environment": "production", "recorded_at": 1789081203}</x:v>
      </x:c>
      <x:c r="X6" s="10" t="n">
        <x:v>0</x:v>
      </x:c>
      <x:c r="Y6" s="8" t="n">
        <x:v>46275.95836805556</x:v>
      </x:c>
      <x:c r="Z6" s="3" t="str">
        <x:v>2026-09-11</x:v>
      </x:c>
      <x:c r="AA6" s="3" t="str">
        <x:v>ACTIVE / WEAK</x:v>
      </x:c>
      <x:c r="AB6" s="8" t="n">
        <x:v>46276.081782407404</x:v>
      </x:c>
      <x:c r="AC6" s="10" t="n">
        <x:v>137</x:v>
      </x:c>
      <x:c r="AD6" s="3" t="str">
        <x:v>trend_ok, momentum_ok</x:v>
      </x:c>
      <x:c r="AE6" s="3"/>
      <x:c r="AF6" s="9"/>
      <x:c r="AG6" s="3"/>
      <x:c r="AH6" s="9"/>
      <x:c r="AI6" s="9"/>
      <x:c r="AJ6" s="3"/>
      <x:c r="AK6" s="9"/>
      <x:c r="AL6" s="3"/>
      <x:c r="AM6" s="3"/>
    </x:row>
    <x:row r="7" ht="21" customHeight="1">
      <x:c r="A7" s="8" t="n">
        <x:v>46276.105104166665</x:v>
      </x:c>
      <x:c r="B7" s="3" t="str">
        <x:v>THEUSDT</x:v>
      </x:c>
      <x:c r="C7" s="3" t="str">
        <x:v>BUY</x:v>
      </x:c>
      <x:c r="D7" s="3" t="str">
        <x:v>838054688</x:v>
      </x:c>
      <x:c r="E7" s="9" t="n">
        <x:v>451.8</x:v>
      </x:c>
      <x:c r="F7" s="9" t="n">
        <x:v>0.0664</x:v>
      </x:c>
      <x:c r="G7" s="9" t="n">
        <x:v>29.99952</x:v>
      </x:c>
      <x:c r="H7" s="9"/>
      <x:c r="I7" s="3"/>
      <x:c r="J7" s="3" t="str">
        <x:v>gross only; actual fees not recorded</x:v>
      </x:c>
      <x:c r="K7" s="3" t="str">
        <x:v>dashboard manual buy</x:v>
      </x:c>
      <x:c r="L7" s="3" t="str">
        <x:v>production</x:v>
      </x:c>
      <x:c r="M7" s="10" t="n">
        <x:v>625</x:v>
      </x:c>
      <x:c r="N7" s="3" t="str">
        <x:v>USDT</x:v>
      </x:c>
      <x:c r="O7" s="9" t="n">
        <x:v>1789082999999</x:v>
      </x:c>
      <x:c r="P7" s="4" t="b">
        <x:v>1</x:v>
      </x:c>
      <x:c r="Q7" s="4" t="b">
        <x:v>0</x:v>
      </x:c>
      <x:c r="R7" s="4" t="b">
        <x:v>1</x:v>
      </x:c>
      <x:c r="S7" s="4" t="b">
        <x:v>1</x:v>
      </x:c>
      <x:c r="T7" s="4" t="b">
        <x:v>1</x:v>
      </x:c>
      <x:c r="U7" s="4" t="b">
        <x:v>0</x:v>
      </x:c>
      <x:c r="V7" s="10" t="n">
        <x:v>1789083081</x:v>
      </x:c>
      <x:c r="W7" s="3" t="str">
        <x:v>{"side": "BUY", "symbol": "THEUSDT", "order_id": 838054688, "quantity": "451.80000000", "price": "0.0664", "quote_amount": "29.99952000", "quote_asset": "USDT", "signal_candle_close_time": 1789082999999, "reason": "dashboard manual buy", "entry_conditions": {"rsi_recovered": true, "near_support": false, "trend_ok": true, "reward_ok": true, "stop_risk_ok": true, "momentum_ok": false}, "environment": "production", "recorded_at": 1789083081}</x:v>
      </x:c>
      <x:c r="X7" s="10" t="n">
        <x:v>0</x:v>
      </x:c>
      <x:c r="Y7" s="8" t="n">
        <x:v>46275.980104166665</x:v>
      </x:c>
      <x:c r="Z7" s="3" t="str">
        <x:v>2026-09-11</x:v>
      </x:c>
      <x:c r="AA7" s="3" t="str">
        <x:v>ACTIVE / WEAK</x:v>
      </x:c>
      <x:c r="AB7" s="8" t="n">
        <x:v>46276.10304398148</x:v>
      </x:c>
      <x:c r="AC7" s="10" t="n">
        <x:v>178</x:v>
      </x:c>
      <x:c r="AD7" s="3" t="str">
        <x:v>near_support, momentum_ok</x:v>
      </x:c>
      <x:c r="AE7" s="3"/>
      <x:c r="AF7" s="9"/>
      <x:c r="AG7" s="3"/>
      <x:c r="AH7" s="9"/>
      <x:c r="AI7" s="9"/>
      <x:c r="AJ7" s="3"/>
      <x:c r="AK7" s="9"/>
      <x:c r="AL7" s="3"/>
      <x:c r="AM7" s="3"/>
    </x:row>
    <x:row r="8" ht="21" customHeight="1">
      <x:c r="A8" s="8" t="n">
        <x:v>46276.12513888889</x:v>
      </x:c>
      <x:c r="B8" s="3" t="str">
        <x:v>THEUSDT</x:v>
      </x:c>
      <x:c r="C8" s="3" t="str">
        <x:v>SELL</x:v>
      </x:c>
      <x:c r="D8" s="3" t="str">
        <x:v>838055912</x:v>
      </x:c>
      <x:c r="E8" s="9" t="n">
        <x:v>451.8</x:v>
      </x:c>
      <x:c r="F8" s="9" t="n">
        <x:v>0.0661</x:v>
      </x:c>
      <x:c r="G8" s="9" t="n">
        <x:v>29.86398</x:v>
      </x:c>
      <x:c r="H8" s="9" t="n">
        <x:v>-0.13554</x:v>
      </x:c>
      <x:c r="I8" s="3"/>
      <x:c r="J8" s="3" t="str">
        <x:v>gross only; actual fees not recorded</x:v>
      </x:c>
      <x:c r="K8" s="3" t="str">
        <x:v>stop loss</x:v>
      </x:c>
      <x:c r="L8" s="3" t="str">
        <x:v>production</x:v>
      </x:c>
      <x:c r="M8" s="10" t="n">
        <x:v>626</x:v>
      </x:c>
      <x:c r="N8" s="3" t="str">
        <x:v>USDT</x:v>
      </x:c>
      <x:c r="O8" s="9"/>
      <x:c r="P8" s="3"/>
      <x:c r="Q8" s="3"/>
      <x:c r="R8" s="3"/>
      <x:c r="S8" s="3"/>
      <x:c r="T8" s="3"/>
      <x:c r="U8" s="3"/>
      <x:c r="V8" s="10" t="n">
        <x:v>1789084812</x:v>
      </x:c>
      <x:c r="W8" s="3" t="str">
        <x:v>{"side": "SELL", "symbol": "THEUSDT", "order_id": 838055912, "quantity": "451.80000000", "price": "0.0661", "quote_amount": "29.86398000", "quote_asset": "USDT", "reason": "stop loss", "estimated_pnl_usdt": "-0.135540000000", "environment": "production", "recorded_at": 1789084812}</x:v>
      </x:c>
      <x:c r="X8" s="10" t="n">
        <x:v>0</x:v>
      </x:c>
      <x:c r="Y8" s="8" t="n">
        <x:v>46276.00013888889</x:v>
      </x:c>
      <x:c r="Z8" s="3" t="str">
        <x:v>2026-09-11</x:v>
      </x:c>
      <x:c r="AA8" s="3" t="str">
        <x:v>ACTIVE / WEAK</x:v>
      </x:c>
      <x:c r="AB8" s="8" t="n">
        <x:v>46276.124236111114</x:v>
      </x:c>
      <x:c r="AC8" s="10" t="n">
        <x:v>78</x:v>
      </x:c>
      <x:c r="AD8" s="3"/>
      <x:c r="AE8" s="3"/>
      <x:c r="AF8" s="9"/>
      <x:c r="AG8" s="3"/>
      <x:c r="AH8" s="9"/>
      <x:c r="AI8" s="9"/>
      <x:c r="AJ8" s="3"/>
      <x:c r="AK8" s="9"/>
      <x:c r="AL8" s="3"/>
      <x:c r="AM8" s="3"/>
    </x:row>
    <x:row r="9" ht="21" customHeight="1">
      <x:c r="A9" s="8" t="n">
        <x:v>46276.2091087963</x:v>
      </x:c>
      <x:c r="B9" s="3" t="str">
        <x:v>AVAXUSDT</x:v>
      </x:c>
      <x:c r="C9" s="3" t="str">
        <x:v>BUY</x:v>
      </x:c>
      <x:c r="D9" s="3" t="str">
        <x:v>5728894597</x:v>
      </x:c>
      <x:c r="E9" s="9" t="n">
        <x:v>4.99</x:v>
      </x:c>
      <x:c r="F9" s="9" t="n">
        <x:v>7.476</x:v>
      </x:c>
      <x:c r="G9" s="9" t="n">
        <x:v>37.30524</x:v>
      </x:c>
      <x:c r="H9" s="9"/>
      <x:c r="I9" s="3"/>
      <x:c r="J9" s="3" t="str">
        <x:v>gross only; actual fees not recorded</x:v>
      </x:c>
      <x:c r="K9" s="3" t="str">
        <x:v>dashboard manual buy</x:v>
      </x:c>
      <x:c r="L9" s="3" t="str">
        <x:v>production</x:v>
      </x:c>
      <x:c r="M9" s="10" t="n">
        <x:v>627</x:v>
      </x:c>
      <x:c r="N9" s="3" t="str">
        <x:v>USDT</x:v>
      </x:c>
      <x:c r="O9" s="9" t="n">
        <x:v>1789091999999</x:v>
      </x:c>
      <x:c r="P9" s="4" t="b">
        <x:v>1</x:v>
      </x:c>
      <x:c r="Q9" s="4" t="b">
        <x:v>1</x:v>
      </x:c>
      <x:c r="R9" s="4" t="b">
        <x:v>0</x:v>
      </x:c>
      <x:c r="S9" s="4" t="b">
        <x:v>1</x:v>
      </x:c>
      <x:c r="T9" s="4" t="b">
        <x:v>1</x:v>
      </x:c>
      <x:c r="U9" s="4" t="b">
        <x:v>0</x:v>
      </x:c>
      <x:c r="V9" s="10" t="n">
        <x:v>1789092067</x:v>
      </x:c>
      <x:c r="W9" s="3" t="str">
        <x:v>{"side": "BUY", "symbol": "AVAXUSDT", "order_id": 5728894597, "quantity": "4.99000000", "price": "7.476", "quote_amount": "37.30524000", "quote_asset": "USDT", "signal_candle_close_time": 1789091999999, "reason": "dashboard manual buy", "entry_conditions": {"rsi_recovered": true, "near_support": true, "trend_ok": false, "reward_ok": true, "stop_risk_ok": true, "momentum_ok": false}, "environment": "production", "recorded_at": 1789092067}</x:v>
      </x:c>
      <x:c r="X9" s="10" t="n">
        <x:v>0</x:v>
      </x:c>
      <x:c r="Y9" s="8" t="n">
        <x:v>46276.0841087963</x:v>
      </x:c>
      <x:c r="Z9" s="3" t="str">
        <x:v>2026-09-11</x:v>
      </x:c>
      <x:c r="AA9" s="3" t="str">
        <x:v>ACTIVE / WEAK</x:v>
      </x:c>
      <x:c r="AB9" s="8" t="n">
        <x:v>46276.201631944445</x:v>
      </x:c>
      <x:c r="AC9" s="10" t="n">
        <x:v>646</x:v>
      </x:c>
      <x:c r="AD9" s="3" t="str">
        <x:v>trend_ok, momentum_ok</x:v>
      </x:c>
      <x:c r="AE9" s="3"/>
      <x:c r="AF9" s="9"/>
      <x:c r="AG9" s="3"/>
      <x:c r="AH9" s="9"/>
      <x:c r="AI9" s="9"/>
      <x:c r="AJ9" s="3"/>
      <x:c r="AK9" s="9"/>
      <x:c r="AL9" s="3"/>
      <x:c r="AM9" s="3"/>
    </x:row>
    <x:row r="10" ht="21" customHeight="1">
      <x:c r="A10" s="8" t="n">
        <x:v>46276.22178240741</x:v>
      </x:c>
      <x:c r="B10" s="3" t="str">
        <x:v>HOLOUSDT</x:v>
      </x:c>
      <x:c r="C10" s="3" t="str">
        <x:v>BUY</x:v>
      </x:c>
      <x:c r="D10" s="3" t="str">
        <x:v>167386619</x:v>
      </x:c>
      <x:c r="E10" s="9" t="n">
        <x:v>458.8</x:v>
      </x:c>
      <x:c r="F10" s="9" t="n">
        <x:v>0.061</x:v>
      </x:c>
      <x:c r="G10" s="9" t="n">
        <x:v>27.9868</x:v>
      </x:c>
      <x:c r="H10" s="9"/>
      <x:c r="I10" s="3"/>
      <x:c r="J10" s="3" t="str">
        <x:v>gross only; actual fees not recorded</x:v>
      </x:c>
      <x:c r="K10" s="3" t="str">
        <x:v>dashboard manual buy</x:v>
      </x:c>
      <x:c r="L10" s="3" t="str">
        <x:v>production</x:v>
      </x:c>
      <x:c r="M10" s="10" t="n">
        <x:v>628</x:v>
      </x:c>
      <x:c r="N10" s="3" t="str">
        <x:v>USDT</x:v>
      </x:c>
      <x:c r="O10" s="9" t="n">
        <x:v>1789092899999</x:v>
      </x:c>
      <x:c r="P10" s="4" t="b">
        <x:v>1</x:v>
      </x:c>
      <x:c r="Q10" s="4" t="b">
        <x:v>0</x:v>
      </x:c>
      <x:c r="R10" s="4" t="b">
        <x:v>1</x:v>
      </x:c>
      <x:c r="S10" s="4" t="b">
        <x:v>1</x:v>
      </x:c>
      <x:c r="T10" s="4" t="b">
        <x:v>1</x:v>
      </x:c>
      <x:c r="U10" s="4" t="b">
        <x:v>0</x:v>
      </x:c>
      <x:c r="V10" s="10" t="n">
        <x:v>1789093162</x:v>
      </x:c>
      <x:c r="W10" s="3" t="str">
        <x:v>{"side": "BUY", "symbol": "HOLOUSDT", "order_id": 167386619, "quantity": "458.80000000", "price": "0.061", "quote_amount": "27.98680000", "quote_asset": "USDT", "signal_candle_close_time": 1789092899999, "reason": "dashboard manual buy", "entry_conditions": {"rsi_recovered": true, "near_support": false, "trend_ok": true, "reward_ok": true, "stop_risk_ok": true, "momentum_ok": false}, "environment": "production", "recorded_at": 1789093162}</x:v>
      </x:c>
      <x:c r="X10" s="10" t="n">
        <x:v>0</x:v>
      </x:c>
      <x:c r="Y10" s="8" t="n">
        <x:v>46276.09678240741</x:v>
      </x:c>
      <x:c r="Z10" s="3" t="str">
        <x:v>2026-09-11</x:v>
      </x:c>
      <x:c r="AA10" s="3" t="str">
        <x:v>ACTIVE / WEAK</x:v>
      </x:c>
      <x:c r="AB10" s="8" t="n">
        <x:v>46276.212326388886</x:v>
      </x:c>
      <x:c r="AC10" s="10" t="n">
        <x:v>817</x:v>
      </x:c>
      <x:c r="AD10" s="3" t="str">
        <x:v>near_support, momentum_ok</x:v>
      </x:c>
      <x:c r="AE10" s="3"/>
      <x:c r="AF10" s="9"/>
      <x:c r="AG10" s="3"/>
      <x:c r="AH10" s="9"/>
      <x:c r="AI10" s="9"/>
      <x:c r="AJ10" s="3"/>
      <x:c r="AK10" s="9"/>
      <x:c r="AL10" s="3"/>
      <x:c r="AM10" s="3"/>
    </x:row>
    <x:row r="11" ht="21" customHeight="1">
      <x:c r="A11" s="8" t="n">
        <x:v>46276.25020833333</x:v>
      </x:c>
      <x:c r="B11" s="3" t="str">
        <x:v>HOLOUSDT</x:v>
      </x:c>
      <x:c r="C11" s="3" t="str">
        <x:v>SELL</x:v>
      </x:c>
      <x:c r="D11" s="3" t="str">
        <x:v>167395092</x:v>
      </x:c>
      <x:c r="E11" s="9" t="n">
        <x:v>458.8</x:v>
      </x:c>
      <x:c r="F11" s="9" t="n">
        <x:v>0.0603</x:v>
      </x:c>
      <x:c r="G11" s="9" t="n">
        <x:v>27.66564</x:v>
      </x:c>
      <x:c r="H11" s="9" t="n">
        <x:v>-0.32116</x:v>
      </x:c>
      <x:c r="I11" s="3"/>
      <x:c r="J11" s="3" t="str">
        <x:v>gross only; actual fees not recorded</x:v>
      </x:c>
      <x:c r="K11" s="3" t="str">
        <x:v>stop loss</x:v>
      </x:c>
      <x:c r="L11" s="3" t="str">
        <x:v>production</x:v>
      </x:c>
      <x:c r="M11" s="10" t="n">
        <x:v>629</x:v>
      </x:c>
      <x:c r="N11" s="3" t="str">
        <x:v>USDT</x:v>
      </x:c>
      <x:c r="O11" s="9"/>
      <x:c r="P11" s="3"/>
      <x:c r="Q11" s="3"/>
      <x:c r="R11" s="3"/>
      <x:c r="S11" s="3"/>
      <x:c r="T11" s="3"/>
      <x:c r="U11" s="3"/>
      <x:c r="V11" s="10" t="n">
        <x:v>1789095618</x:v>
      </x:c>
      <x:c r="W11" s="3" t="str">
        <x:v>{"side": "SELL", "symbol": "HOLOUSDT", "order_id": 167395092, "quantity": "458.80000000", "price": "0.0603", "quote_amount": "27.66564000", "quote_asset": "USDT", "reason": "stop loss", "estimated_pnl_usdt": "-0.321160000000", "environment": "production", "recorded_at": 1789095618}</x:v>
      </x:c>
      <x:c r="X11" s="10" t="n">
        <x:v>0</x:v>
      </x:c>
      <x:c r="Y11" s="8" t="n">
        <x:v>46276.12520833333</x:v>
      </x:c>
      <x:c r="Z11" s="3" t="str">
        <x:v>2026-09-11</x:v>
      </x:c>
      <x:c r="AA11" s="3" t="str">
        <x:v>ACTIVE / WEAK</x:v>
      </x:c>
      <x:c r="AB11" s="8" t="n">
        <x:v>46276.24381944445</x:v>
      </x:c>
      <x:c r="AC11" s="10" t="n">
        <x:v>552</x:v>
      </x:c>
      <x:c r="AD11" s="3"/>
      <x:c r="AE11" s="3"/>
      <x:c r="AF11" s="9"/>
      <x:c r="AG11" s="3"/>
      <x:c r="AH11" s="9"/>
      <x:c r="AI11" s="9"/>
      <x:c r="AJ11" s="3"/>
      <x:c r="AK11" s="9"/>
      <x:c r="AL11" s="3"/>
      <x:c r="AM11" s="3"/>
    </x:row>
    <x:row r="12" ht="21" customHeight="1">
      <x:c r="A12" s="8" t="n">
        <x:v>46276.27112268518</x:v>
      </x:c>
      <x:c r="B12" s="3" t="str">
        <x:v>SNDKBUSDT</x:v>
      </x:c>
      <x:c r="C12" s="3" t="str">
        <x:v>SELL</x:v>
      </x:c>
      <x:c r="D12" s="3" t="str">
        <x:v>337172517</x:v>
      </x:c>
      <x:c r="E12" s="9" t="n">
        <x:v>0.0178</x:v>
      </x:c>
      <x:c r="F12" s="9" t="n">
        <x:v>1671.28</x:v>
      </x:c>
      <x:c r="G12" s="9" t="n">
        <x:v>29.748784</x:v>
      </x:c>
      <x:c r="H12" s="9" t="n">
        <x:v>-0.227484</x:v>
      </x:c>
      <x:c r="I12" s="3"/>
      <x:c r="J12" s="3" t="str">
        <x:v>gross only; actual fees not recorded</x:v>
      </x:c>
      <x:c r="K12" s="3" t="str">
        <x:v>stop loss</x:v>
      </x:c>
      <x:c r="L12" s="3" t="str">
        <x:v>production</x:v>
      </x:c>
      <x:c r="M12" s="10" t="n">
        <x:v>630</x:v>
      </x:c>
      <x:c r="N12" s="3" t="str">
        <x:v>USDT</x:v>
      </x:c>
      <x:c r="O12" s="9"/>
      <x:c r="P12" s="3"/>
      <x:c r="Q12" s="3"/>
      <x:c r="R12" s="3"/>
      <x:c r="S12" s="3"/>
      <x:c r="T12" s="3"/>
      <x:c r="U12" s="3"/>
      <x:c r="V12" s="10" t="n">
        <x:v>1789097425</x:v>
      </x:c>
      <x:c r="W12" s="3" t="str">
        <x:v>{"side": "SELL", "symbol": "SNDKBUSDT", "order_id": 337172517, "quantity": "0.01780000", "price": "1671.28", "quote_amount": "29.74878400", "quote_asset": "USDT", "reason": "stop loss", "estimated_pnl_usdt": "-0.2274840000", "environment": "production", "recorded_at": 1789097425}</x:v>
      </x:c>
      <x:c r="X12" s="10" t="n">
        <x:v>0</x:v>
      </x:c>
      <x:c r="Y12" s="8" t="n">
        <x:v>46276.14612268518</x:v>
      </x:c>
      <x:c r="Z12" s="3" t="str">
        <x:v>2026-09-11</x:v>
      </x:c>
      <x:c r="AA12" s="3" t="str">
        <x:v>ACTIVE / WEAK</x:v>
      </x:c>
      <x:c r="AB12" s="8" t="n">
        <x:v>46276.265011574076</x:v>
      </x:c>
      <x:c r="AC12" s="10" t="n">
        <x:v>528</x:v>
      </x:c>
      <x:c r="AD12" s="3"/>
      <x:c r="AE12" s="3"/>
      <x:c r="AF12" s="9"/>
      <x:c r="AG12" s="3"/>
      <x:c r="AH12" s="9"/>
      <x:c r="AI12" s="9"/>
      <x:c r="AJ12" s="3"/>
      <x:c r="AK12" s="9"/>
      <x:c r="AL12" s="3"/>
      <x:c r="AM12" s="3"/>
    </x:row>
    <x:row r="13" ht="21" customHeight="1">
      <x:c r="A13" s="8" t="n">
        <x:v>46276.330416666664</x:v>
      </x:c>
      <x:c r="B13" s="3" t="str">
        <x:v>SNDKBUSDT</x:v>
      </x:c>
      <x:c r="C13" s="3" t="str">
        <x:v>BUY</x:v>
      </x:c>
      <x:c r="D13" s="3" t="str">
        <x:v>337304706</x:v>
      </x:c>
      <x:c r="E13" s="9" t="n">
        <x:v>0.0209</x:v>
      </x:c>
      <x:c r="F13" s="9" t="n">
        <x:v>1683.4325837320573</x:v>
      </x:c>
      <x:c r="G13" s="9" t="n">
        <x:v>35.183741</x:v>
      </x:c>
      <x:c r="H13" s="9"/>
      <x:c r="I13" s="3"/>
      <x:c r="J13" s="3" t="str">
        <x:v>gross only; actual fees not recorded</x:v>
      </x:c>
      <x:c r="K13" s="3" t="str">
        <x:v>dashboard manual buy</x:v>
      </x:c>
      <x:c r="L13" s="3" t="str">
        <x:v>production</x:v>
      </x:c>
      <x:c r="M13" s="10" t="n">
        <x:v>631</x:v>
      </x:c>
      <x:c r="N13" s="3" t="str">
        <x:v>USDT</x:v>
      </x:c>
      <x:c r="O13" s="9" t="n">
        <x:v>1789101899999</x:v>
      </x:c>
      <x:c r="P13" s="4" t="b">
        <x:v>1</x:v>
      </x:c>
      <x:c r="Q13" s="4" t="b">
        <x:v>0</x:v>
      </x:c>
      <x:c r="R13" s="4" t="b">
        <x:v>1</x:v>
      </x:c>
      <x:c r="S13" s="4" t="b">
        <x:v>1</x:v>
      </x:c>
      <x:c r="T13" s="4" t="b">
        <x:v>1</x:v>
      </x:c>
      <x:c r="U13" s="4" t="b">
        <x:v>0</x:v>
      </x:c>
      <x:c r="V13" s="10" t="n">
        <x:v>1789102548</x:v>
      </x:c>
      <x:c r="W13" s="3" t="str">
        <x:v>{"side": "BUY", "symbol": "SNDKBUSDT", "order_id": 337304706, "quantity": "0.02090000", "price": "1683.432583732057416267942584", "quote_amount": "35.18374100", "quote_asset": "USDT", "signal_candle_close_time": 1789101899999, "reason": "dashboard manual buy", "entry_conditions": {"rsi_recovered": true, "near_support": false, "trend_ok": true, "reward_ok": true, "stop_risk_ok": true, "momentum_ok": false}, "environment": "production", "recorded_at": 1789102548}</x:v>
      </x:c>
      <x:c r="X13" s="10" t="n">
        <x:v>0</x:v>
      </x:c>
      <x:c r="Y13" s="8" t="n">
        <x:v>46276.205416666664</x:v>
      </x:c>
      <x:c r="Z13" s="3" t="str">
        <x:v>2026-09-11</x:v>
      </x:c>
      <x:c r="AA13" s="3" t="str">
        <x:v>ACTIVE / WEAK</x:v>
      </x:c>
      <x:c r="AB13" s="8" t="n">
        <x:v>46276.32875</x:v>
      </x:c>
      <x:c r="AC13" s="10" t="n">
        <x:v>144</x:v>
      </x:c>
      <x:c r="AD13" s="3" t="str">
        <x:v>near_support, momentum_ok</x:v>
      </x:c>
      <x:c r="AE13" s="3"/>
      <x:c r="AF13" s="9"/>
      <x:c r="AG13" s="3"/>
      <x:c r="AH13" s="9"/>
      <x:c r="AI13" s="9"/>
      <x:c r="AJ13" s="3"/>
      <x:c r="AK13" s="9"/>
      <x:c r="AL13" s="3"/>
      <x:c r="AM13" s="3"/>
    </x:row>
    <x:row r="14" ht="21" customHeight="1">
      <x:c r="A14" s="8" t="n">
        <x:v>46276.4925</x:v>
      </x:c>
      <x:c r="B14" s="3" t="str">
        <x:v>THEUSDT</x:v>
      </x:c>
      <x:c r="C14" s="3" t="str">
        <x:v>BUY</x:v>
      </x:c>
      <x:c r="D14" s="3" t="str">
        <x:v>838123149</x:v>
      </x:c>
      <x:c r="E14" s="9" t="n">
        <x:v>406.5</x:v>
      </x:c>
      <x:c r="F14" s="9" t="n">
        <x:v>0.0653</x:v>
      </x:c>
      <x:c r="G14" s="9" t="n">
        <x:v>26.54445</x:v>
      </x:c>
      <x:c r="H14" s="9"/>
      <x:c r="I14" s="3"/>
      <x:c r="J14" s="3" t="str">
        <x:v>gross only; actual fees not recorded</x:v>
      </x:c>
      <x:c r="K14" s="3" t="str">
        <x:v>dashboard manual buy</x:v>
      </x:c>
      <x:c r="L14" s="3" t="str">
        <x:v>production</x:v>
      </x:c>
      <x:c r="M14" s="10" t="n">
        <x:v>632</x:v>
      </x:c>
      <x:c r="N14" s="3" t="str">
        <x:v>USDT</x:v>
      </x:c>
      <x:c r="O14" s="9" t="n">
        <x:v>1789116299999</x:v>
      </x:c>
      <x:c r="P14" s="4" t="b">
        <x:v>0</x:v>
      </x:c>
      <x:c r="Q14" s="4" t="b">
        <x:v>1</x:v>
      </x:c>
      <x:c r="R14" s="4" t="b">
        <x:v>1</x:v>
      </x:c>
      <x:c r="S14" s="4" t="b">
        <x:v>1</x:v>
      </x:c>
      <x:c r="T14" s="4" t="b">
        <x:v>1</x:v>
      </x:c>
      <x:c r="U14" s="4" t="b">
        <x:v>0</x:v>
      </x:c>
      <x:c r="V14" s="10" t="n">
        <x:v>1789116552</x:v>
      </x:c>
      <x:c r="W14" s="3" t="str">
        <x:v>{"side": "BUY", "symbol": "THEUSDT", "order_id": 838123149, "quantity": "406.50000000", "price": "0.0653", "quote_amount": "26.54445000", "quote_asset": "USDT", "signal_candle_close_time": 1789116299999, "reason": "dashboard manual buy", "entry_conditions": {"rsi_recovered": false, "near_support": true, "trend_ok": true, "reward_ok": true, "stop_risk_ok": true, "momentum_ok": false}, "environment": "production", "recorded_at": 1789116552}</x:v>
      </x:c>
      <x:c r="X14" s="10" t="n">
        <x:v>0</x:v>
      </x:c>
      <x:c r="Y14" s="8" t="n">
        <x:v>46276.3675</x:v>
      </x:c>
      <x:c r="Z14" s="3" t="str">
        <x:v>2026-09-11</x:v>
      </x:c>
      <x:c r="AA14" s="3" t="str">
        <x:v>ACTIVE / WEAK</x:v>
      </x:c>
      <x:c r="AB14" s="8" t="n">
        <x:v>46276.487291666665</x:v>
      </x:c>
      <x:c r="AC14" s="10" t="n">
        <x:v>450</x:v>
      </x:c>
      <x:c r="AD14" s="3" t="str">
        <x:v>rsi_recovered, momentum_ok</x:v>
      </x:c>
      <x:c r="AE14" s="3"/>
      <x:c r="AF14" s="9"/>
      <x:c r="AG14" s="3"/>
      <x:c r="AH14" s="9"/>
      <x:c r="AI14" s="9"/>
      <x:c r="AJ14" s="3"/>
      <x:c r="AK14" s="9"/>
      <x:c r="AL14" s="3"/>
      <x:c r="AM14" s="3"/>
    </x:row>
    <x:row r="15" ht="21" customHeight="1">
      <x:c r="A15" s="8" t="n">
        <x:v>46276.53145833333</x:v>
      </x:c>
      <x:c r="B15" s="3" t="str">
        <x:v>AVAXUSDT</x:v>
      </x:c>
      <x:c r="C15" s="3" t="str">
        <x:v>SELL</x:v>
      </x:c>
      <x:c r="D15" s="3" t="str">
        <x:v>5729351126</x:v>
      </x:c>
      <x:c r="E15" s="9" t="n">
        <x:v>4.99</x:v>
      </x:c>
      <x:c r="F15" s="9" t="n">
        <x:v>7.385</x:v>
      </x:c>
      <x:c r="G15" s="9" t="n">
        <x:v>36.85115</x:v>
      </x:c>
      <x:c r="H15" s="9" t="n">
        <x:v>-0.45409</x:v>
      </x:c>
      <x:c r="I15" s="3"/>
      <x:c r="J15" s="3" t="str">
        <x:v>gross only; actual fees not recorded</x:v>
      </x:c>
      <x:c r="K15" s="3" t="str">
        <x:v>stop loss</x:v>
      </x:c>
      <x:c r="L15" s="3" t="str">
        <x:v>production</x:v>
      </x:c>
      <x:c r="M15" s="10" t="n">
        <x:v>633</x:v>
      </x:c>
      <x:c r="N15" s="3" t="str">
        <x:v>USDT</x:v>
      </x:c>
      <x:c r="O15" s="9"/>
      <x:c r="P15" s="3"/>
      <x:c r="Q15" s="3"/>
      <x:c r="R15" s="3"/>
      <x:c r="S15" s="3"/>
      <x:c r="T15" s="3"/>
      <x:c r="U15" s="3"/>
      <x:c r="V15" s="10" t="n">
        <x:v>1789119918</x:v>
      </x:c>
      <x:c r="W15" s="3" t="str">
        <x:v>{"side": "SELL", "symbol": "AVAXUSDT", "order_id": 5729351126, "quantity": "4.99000000", "price": "7.385", "quote_amount": "36.85115000", "quote_asset": "USDT", "reason": "stop loss", "estimated_pnl_usdt": "-0.45409000000", "environment": "production", "recorded_at": 1789119918}</x:v>
      </x:c>
      <x:c r="X15" s="10" t="n">
        <x:v>0</x:v>
      </x:c>
      <x:c r="Y15" s="8" t="n">
        <x:v>46276.40645833333</x:v>
      </x:c>
      <x:c r="Z15" s="3" t="str">
        <x:v>2026-09-11</x:v>
      </x:c>
      <x:c r="AA15" s="3" t="str">
        <x:v>ACTIVE / WEAK</x:v>
      </x:c>
      <x:c r="AB15" s="8" t="n">
        <x:v>46276.52936342593</x:v>
      </x:c>
      <x:c r="AC15" s="10" t="n">
        <x:v>181</x:v>
      </x:c>
      <x:c r="AD15" s="3"/>
      <x:c r="AE15" s="3"/>
      <x:c r="AF15" s="9"/>
      <x:c r="AG15" s="3"/>
      <x:c r="AH15" s="9"/>
      <x:c r="AI15" s="9"/>
      <x:c r="AJ15" s="3"/>
      <x:c r="AK15" s="9"/>
      <x:c r="AL15" s="3"/>
      <x:c r="AM15" s="3"/>
    </x:row>
    <x:row r="16" ht="21" customHeight="1">
      <x:c r="A16" s="8" t="n">
        <x:v>46276.56263888889</x:v>
      </x:c>
      <x:c r="B16" s="3" t="str">
        <x:v>THEUSDT</x:v>
      </x:c>
      <x:c r="C16" s="3" t="str">
        <x:v>SELL</x:v>
      </x:c>
      <x:c r="D16" s="3" t="str">
        <x:v>838137482</x:v>
      </x:c>
      <x:c r="E16" s="9" t="n">
        <x:v>406.5</x:v>
      </x:c>
      <x:c r="F16" s="9" t="n">
        <x:v>0.0644</x:v>
      </x:c>
      <x:c r="G16" s="9" t="n">
        <x:v>26.1786</x:v>
      </x:c>
      <x:c r="H16" s="9" t="n">
        <x:v>-0.36585</x:v>
      </x:c>
      <x:c r="I16" s="3"/>
      <x:c r="J16" s="3" t="str">
        <x:v>gross only; actual fees not recorded</x:v>
      </x:c>
      <x:c r="K16" s="3" t="str">
        <x:v>stop loss</x:v>
      </x:c>
      <x:c r="L16" s="3" t="str">
        <x:v>production</x:v>
      </x:c>
      <x:c r="M16" s="10" t="n">
        <x:v>634</x:v>
      </x:c>
      <x:c r="N16" s="3" t="str">
        <x:v>USDT</x:v>
      </x:c>
      <x:c r="O16" s="9"/>
      <x:c r="P16" s="3"/>
      <x:c r="Q16" s="3"/>
      <x:c r="R16" s="3"/>
      <x:c r="S16" s="3"/>
      <x:c r="T16" s="3"/>
      <x:c r="U16" s="3"/>
      <x:c r="V16" s="10" t="n">
        <x:v>1789122612</x:v>
      </x:c>
      <x:c r="W16" s="3" t="str">
        <x:v>{"side": "SELL", "symbol": "THEUSDT", "order_id": 838137482, "quantity": "406.50000000", "price": "0.0644", "quote_amount": "26.17860000", "quote_asset": "USDT", "reason": "stop loss", "estimated_pnl_usdt": "-0.365850000000", "environment": "production", "recorded_at": 1789122612}</x:v>
      </x:c>
      <x:c r="X16" s="10" t="n">
        <x:v>0</x:v>
      </x:c>
      <x:c r="Y16" s="8" t="n">
        <x:v>46276.43763888889</x:v>
      </x:c>
      <x:c r="Z16" s="3" t="str">
        <x:v>2026-09-11</x:v>
      </x:c>
      <x:c r="AA16" s="3" t="str">
        <x:v>ACTIVE / WEAK</x:v>
      </x:c>
      <x:c r="AB16" s="8" t="n">
        <x:v>46276.55457175926</x:v>
      </x:c>
      <x:c r="AC16" s="10" t="n">
        <x:v>697</x:v>
      </x:c>
      <x:c r="AD16" s="3"/>
      <x:c r="AE16" s="3"/>
      <x:c r="AF16" s="9"/>
      <x:c r="AG16" s="3"/>
      <x:c r="AH16" s="9"/>
      <x:c r="AI16" s="9"/>
      <x:c r="AJ16" s="3"/>
      <x:c r="AK16" s="9"/>
      <x:c r="AL16" s="3"/>
      <x:c r="AM16" s="3"/>
    </x:row>
    <x:row r="17" ht="21" customHeight="1">
      <x:c r="A17" s="8" t="n">
        <x:v>46276.648981481485</x:v>
      </x:c>
      <x:c r="B17" s="3" t="str">
        <x:v>SNDKBUSDT</x:v>
      </x:c>
      <x:c r="C17" s="3" t="str">
        <x:v>SELL</x:v>
      </x:c>
      <x:c r="D17" s="3" t="str">
        <x:v>338116618</x:v>
      </x:c>
      <x:c r="E17" s="9" t="n">
        <x:v>0.0209</x:v>
      </x:c>
      <x:c r="F17" s="9" t="n">
        <x:v>1718.59</x:v>
      </x:c>
      <x:c r="G17" s="9" t="n">
        <x:v>35.918531</x:v>
      </x:c>
      <x:c r="H17" s="9" t="n">
        <x:v>0.73479</x:v>
      </x:c>
      <x:c r="I17" s="3"/>
      <x:c r="J17" s="3" t="str">
        <x:v>gross only; actual fees not recorded</x:v>
      </x:c>
      <x:c r="K17" s="3" t="str">
        <x:v>take profit</x:v>
      </x:c>
      <x:c r="L17" s="3" t="str">
        <x:v>production</x:v>
      </x:c>
      <x:c r="M17" s="10" t="n">
        <x:v>635</x:v>
      </x:c>
      <x:c r="N17" s="3" t="str">
        <x:v>USDT</x:v>
      </x:c>
      <x:c r="O17" s="9"/>
      <x:c r="P17" s="3"/>
      <x:c r="Q17" s="3"/>
      <x:c r="R17" s="3"/>
      <x:c r="S17" s="3"/>
      <x:c r="T17" s="3"/>
      <x:c r="U17" s="3"/>
      <x:c r="V17" s="10" t="n">
        <x:v>1789130072</x:v>
      </x:c>
      <x:c r="W17" s="3" t="str">
        <x:v>{"side": "SELL", "symbol": "SNDKBUSDT", "order_id": 338116618, "quantity": "0.02090000", "price": "1718.59", "quote_amount": "35.91853100", "quote_asset": "USDT", "reason": "take profit", "estimated_pnl_usdt": "0.7347899999999999999999999944", "environment": "production", "recorded_at": 1789130072}</x:v>
      </x:c>
      <x:c r="X17" s="10" t="n">
        <x:v>0</x:v>
      </x:c>
      <x:c r="Y17" s="8" t="n">
        <x:v>46276.523981481485</x:v>
      </x:c>
      <x:c r="Z17" s="3" t="str">
        <x:v>2026-09-11</x:v>
      </x:c>
      <x:c r="AA17" s="3" t="str">
        <x:v>ACTIVE / WEAK</x:v>
      </x:c>
      <x:c r="AB17" s="8" t="n">
        <x:v>46276.63947916667</x:v>
      </x:c>
      <x:c r="AC17" s="10" t="n">
        <x:v>821</x:v>
      </x:c>
      <x:c r="AD17" s="3"/>
      <x:c r="AE17" s="3"/>
      <x:c r="AF17" s="9"/>
      <x:c r="AG17" s="3"/>
      <x:c r="AH17" s="9"/>
      <x:c r="AI17" s="9"/>
      <x:c r="AJ17" s="3"/>
      <x:c r="AK17" s="9"/>
      <x:c r="AL17" s="3"/>
      <x:c r="AM17" s="3"/>
    </x:row>
    <x:row r="18" ht="21" customHeight="1">
      <x:c r="A18" s="8" t="n">
        <x:v>46277.025717592594</x:v>
      </x:c>
      <x:c r="B18" s="3" t="str">
        <x:v>SOLUSDT</x:v>
      </x:c>
      <x:c r="C18" s="3" t="str">
        <x:v>BUY</x:v>
      </x:c>
      <x:c r="D18" s="3" t="str">
        <x:v>17789739265</x:v>
      </x:c>
      <x:c r="E18" s="9" t="n">
        <x:v>0.579</x:v>
      </x:c>
      <x:c r="F18" s="9" t="n">
        <x:v>102.71</x:v>
      </x:c>
      <x:c r="G18" s="9" t="n">
        <x:v>59.46909</x:v>
      </x:c>
      <x:c r="H18" s="9"/>
      <x:c r="I18" s="3"/>
      <x:c r="J18" s="3" t="str">
        <x:v>gross only; actual fees not recorded</x:v>
      </x:c>
      <x:c r="K18" s="3" t="str">
        <x:v>dashboard manual buy</x:v>
      </x:c>
      <x:c r="L18" s="3" t="str">
        <x:v>production</x:v>
      </x:c>
      <x:c r="M18" s="10" t="n">
        <x:v>636</x:v>
      </x:c>
      <x:c r="N18" s="3" t="str">
        <x:v>USDT</x:v>
      </x:c>
      <x:c r="O18" s="9" t="n">
        <x:v>1789162199999</x:v>
      </x:c>
      <x:c r="P18" s="4" t="b">
        <x:v>1</x:v>
      </x:c>
      <x:c r="Q18" s="4" t="b">
        <x:v>0</x:v>
      </x:c>
      <x:c r="R18" s="4" t="b">
        <x:v>1</x:v>
      </x:c>
      <x:c r="S18" s="4" t="b">
        <x:v>1</x:v>
      </x:c>
      <x:c r="T18" s="4" t="b">
        <x:v>0</x:v>
      </x:c>
      <x:c r="U18" s="4" t="b">
        <x:v>1</x:v>
      </x:c>
      <x:c r="V18" s="10" t="n">
        <x:v>1789162622</x:v>
      </x:c>
      <x:c r="W18" s="3" t="str">
        <x:v>{"side": "BUY", "symbol": "SOLUSDT", "order_id": 17789739265, "quantity": "0.57900000", "price": "102.71", "quote_amount": "59.46909000", "quote_asset": "USDT", "signal_candle_close_time": 1789162199999, "reason": "dashboard manual buy", "entry_conditions": {"rsi_recovered": true, "near_support": false, "trend_ok": true, "reward_ok": true, "stop_risk_ok": false, "momentum_ok": true}, "environment": "production", "recorded_at": 1789162622}</x:v>
      </x:c>
      <x:c r="X18" s="10" t="n">
        <x:v>0</x:v>
      </x:c>
      <x:c r="Y18" s="8" t="n">
        <x:v>46276.900717592594</x:v>
      </x:c>
      <x:c r="Z18" s="3" t="str">
        <x:v>2026-09-12</x:v>
      </x:c>
      <x:c r="AA18" s="3" t="str">
        <x:v>ACTIVE / MIXED</x:v>
      </x:c>
      <x:c r="AB18" s="8" t="n">
        <x:v>46277.01809027778</x:v>
      </x:c>
      <x:c r="AC18" s="10" t="n">
        <x:v>659</x:v>
      </x:c>
      <x:c r="AD18" s="3" t="str">
        <x:v>near_support, stop_risk_ok</x:v>
      </x:c>
      <x:c r="AE18" s="3"/>
      <x:c r="AF18" s="9"/>
      <x:c r="AG18" s="3"/>
      <x:c r="AH18" s="9"/>
      <x:c r="AI18" s="9"/>
      <x:c r="AJ18" s="3"/>
      <x:c r="AK18" s="9"/>
      <x:c r="AL18" s="3"/>
      <x:c r="AM18" s="3"/>
    </x:row>
    <x:row r="19" ht="21" customHeight="1">
      <x:c r="A19" s="8" t="n">
        <x:v>46277.084386574075</x:v>
      </x:c>
      <x:c r="B19" s="3" t="str">
        <x:v>AAVEUSDT</x:v>
      </x:c>
      <x:c r="C19" s="3" t="str">
        <x:v>BUY</x:v>
      </x:c>
      <x:c r="D19" s="3" t="str">
        <x:v>5702658768</x:v>
      </x:c>
      <x:c r="E19" s="9" t="n">
        <x:v>0.32</x:v>
      </x:c>
      <x:c r="F19" s="9" t="n">
        <x:v>123.99709375</x:v>
      </x:c>
      <x:c r="G19" s="9" t="n">
        <x:v>39.67907</x:v>
      </x:c>
      <x:c r="H19" s="9"/>
      <x:c r="I19" s="3"/>
      <x:c r="J19" s="3" t="str">
        <x:v>gross only; actual fees not recorded</x:v>
      </x:c>
      <x:c r="K19" s="3" t="str">
        <x:v>dashboard manual buy</x:v>
      </x:c>
      <x:c r="L19" s="3" t="str">
        <x:v>production</x:v>
      </x:c>
      <x:c r="M19" s="10" t="n">
        <x:v>637</x:v>
      </x:c>
      <x:c r="N19" s="3" t="str">
        <x:v>USDT</x:v>
      </x:c>
      <x:c r="O19" s="9" t="n">
        <x:v>1789167599999</x:v>
      </x:c>
      <x:c r="P19" s="4" t="b">
        <x:v>1</x:v>
      </x:c>
      <x:c r="Q19" s="4" t="b">
        <x:v>1</x:v>
      </x:c>
      <x:c r="R19" s="4" t="b">
        <x:v>0</x:v>
      </x:c>
      <x:c r="S19" s="4" t="b">
        <x:v>1</x:v>
      </x:c>
      <x:c r="T19" s="4" t="b">
        <x:v>0</x:v>
      </x:c>
      <x:c r="U19" s="4" t="b">
        <x:v>0</x:v>
      </x:c>
      <x:c r="V19" s="10" t="n">
        <x:v>1789167691</x:v>
      </x:c>
      <x:c r="W19" s="3" t="str">
        <x:v>{"side": "BUY", "symbol": "AAVEUSDT", "order_id": 5702658768, "quantity": "0.32000000", "price": "123.99709375", "quote_amount": "39.67907000", "quote_asset": "USDT", "signal_candle_close_time": 1789167599999, "reason": "dashboard manual buy", "entry_conditions": {"rsi_recovered": true, "near_support": true, "trend_ok": false, "reward_ok": true, "stop_risk_ok": false, "momentum_ok": false}, "environment": "production", "recorded_at": 1789167691}</x:v>
      </x:c>
      <x:c r="X19" s="10" t="n">
        <x:v>0</x:v>
      </x:c>
      <x:c r="Y19" s="8" t="n">
        <x:v>46276.959386574075</x:v>
      </x:c>
      <x:c r="Z19" s="3" t="str">
        <x:v>2026-09-12</x:v>
      </x:c>
      <x:c r="AA19" s="3" t="str">
        <x:v>ACTIVE / MIXED</x:v>
      </x:c>
      <x:c r="AB19" s="8" t="n">
        <x:v>46277.07393518519</x:v>
      </x:c>
      <x:c r="AC19" s="10" t="n">
        <x:v>903</x:v>
      </x:c>
      <x:c r="AD19" s="3" t="str">
        <x:v>trend_ok, stop_risk_ok, momentum_ok</x:v>
      </x:c>
      <x:c r="AE19" s="3"/>
      <x:c r="AF19" s="9"/>
      <x:c r="AG19" s="3"/>
      <x:c r="AH19" s="9"/>
      <x:c r="AI19" s="9"/>
      <x:c r="AJ19" s="3"/>
      <x:c r="AK19" s="9"/>
      <x:c r="AL19" s="3"/>
      <x:c r="AM19" s="3"/>
    </x:row>
    <x:row r="20" ht="21" customHeight="1">
      <x:c r="A20" s="8" t="n">
        <x:v>46277.084398148145</x:v>
      </x:c>
      <x:c r="B20" s="3" t="str">
        <x:v>AAVEUSDT</x:v>
      </x:c>
      <x:c r="C20" s="3" t="str">
        <x:v>BUY</x:v>
      </x:c>
      <x:c r="D20" s="3" t="str">
        <x:v>5702658820</x:v>
      </x:c>
      <x:c r="E20" s="9" t="n">
        <x:v>0.32</x:v>
      </x:c>
      <x:c r="F20" s="9" t="n">
        <x:v>124.01</x:v>
      </x:c>
      <x:c r="G20" s="9" t="n">
        <x:v>39.6832</x:v>
      </x:c>
      <x:c r="H20" s="9"/>
      <x:c r="I20" s="3"/>
      <x:c r="J20" s="3" t="str">
        <x:v>gross only; actual fees not recorded</x:v>
      </x:c>
      <x:c r="K20" s="3" t="str">
        <x:v>dashboard manual buy more</x:v>
      </x:c>
      <x:c r="L20" s="3" t="str">
        <x:v>production</x:v>
      </x:c>
      <x:c r="M20" s="10" t="n">
        <x:v>638</x:v>
      </x:c>
      <x:c r="N20" s="3" t="str">
        <x:v>USDT</x:v>
      </x:c>
      <x:c r="O20" s="9" t="n">
        <x:v>1789167599999</x:v>
      </x:c>
      <x:c r="P20" s="4" t="b">
        <x:v>1</x:v>
      </x:c>
      <x:c r="Q20" s="4" t="b">
        <x:v>1</x:v>
      </x:c>
      <x:c r="R20" s="4" t="b">
        <x:v>0</x:v>
      </x:c>
      <x:c r="S20" s="4" t="b">
        <x:v>1</x:v>
      </x:c>
      <x:c r="T20" s="4" t="b">
        <x:v>0</x:v>
      </x:c>
      <x:c r="U20" s="4" t="b">
        <x:v>0</x:v>
      </x:c>
      <x:c r="V20" s="10" t="n">
        <x:v>1789167692</x:v>
      </x:c>
      <x:c r="W20" s="3" t="str">
        <x:v>{"side": "BUY", "symbol": "AAVEUSDT", "order_id": 5702658820, "quantity": "0.32000000", "price": "124.01", "quote_amount": "39.68320000", "quote_asset": "USDT", "signal_candle_close_time": 1789167599999, "reason": "dashboard manual buy more", "entry_conditions": {"rsi_recovered": true, "near_support": true, "trend_ok": false, "reward_ok": true, "stop_risk_ok": false, "momentum_ok": false}, "environment": "production", "recorded_at": 1789167692}</x:v>
      </x:c>
      <x:c r="X20" s="10" t="n">
        <x:v>0</x:v>
      </x:c>
      <x:c r="Y20" s="8" t="n">
        <x:v>46276.959398148145</x:v>
      </x:c>
      <x:c r="Z20" s="3" t="str">
        <x:v>2026-09-12</x:v>
      </x:c>
      <x:c r="AA20" s="3" t="str">
        <x:v>ACTIVE / MIXED</x:v>
      </x:c>
      <x:c r="AB20" s="8" t="n">
        <x:v>46277.07393518519</x:v>
      </x:c>
      <x:c r="AC20" s="10" t="n">
        <x:v>904</x:v>
      </x:c>
      <x:c r="AD20" s="3" t="str">
        <x:v>trend_ok, stop_risk_ok, momentum_ok</x:v>
      </x:c>
      <x:c r="AE20" s="3"/>
      <x:c r="AF20" s="9"/>
      <x:c r="AG20" s="3"/>
      <x:c r="AH20" s="9"/>
      <x:c r="AI20" s="9"/>
      <x:c r="AJ20" s="3"/>
      <x:c r="AK20" s="9"/>
      <x:c r="AL20" s="3"/>
      <x:c r="AM20" s="3"/>
    </x:row>
    <x:row r="21" ht="21" customHeight="1">
      <x:c r="A21" s="8" t="n">
        <x:v>46277.085694444446</x:v>
      </x:c>
      <x:c r="B21" s="3" t="str">
        <x:v>ZECUSDT</x:v>
      </x:c>
      <x:c r="C21" s="3" t="str">
        <x:v>BUY</x:v>
      </x:c>
      <x:c r="D21" s="3" t="str">
        <x:v>6074353109</x:v>
      </x:c>
      <x:c r="E21" s="9" t="n">
        <x:v>0.009</x:v>
      </x:c>
      <x:c r="F21" s="9" t="n">
        <x:v>1158.12</x:v>
      </x:c>
      <x:c r="G21" s="9" t="n">
        <x:v>10.42308</x:v>
      </x:c>
      <x:c r="H21" s="9"/>
      <x:c r="I21" s="3"/>
      <x:c r="J21" s="3" t="str">
        <x:v>gross only; actual fees not recorded</x:v>
      </x:c>
      <x:c r="K21" s="3" t="str">
        <x:v>dashboard manual buy</x:v>
      </x:c>
      <x:c r="L21" s="3" t="str">
        <x:v>production</x:v>
      </x:c>
      <x:c r="M21" s="10" t="n">
        <x:v>639</x:v>
      </x:c>
      <x:c r="N21" s="3" t="str">
        <x:v>USDT</x:v>
      </x:c>
      <x:c r="O21" s="9" t="n">
        <x:v>1789167599999</x:v>
      </x:c>
      <x:c r="P21" s="4" t="b">
        <x:v>1</x:v>
      </x:c>
      <x:c r="Q21" s="4" t="b">
        <x:v>0</x:v>
      </x:c>
      <x:c r="R21" s="4" t="b">
        <x:v>1</x:v>
      </x:c>
      <x:c r="S21" s="4" t="b">
        <x:v>1</x:v>
      </x:c>
      <x:c r="T21" s="4" t="b">
        <x:v>0</x:v>
      </x:c>
      <x:c r="U21" s="4" t="b">
        <x:v>1</x:v>
      </x:c>
      <x:c r="V21" s="10" t="n">
        <x:v>1789167804</x:v>
      </x:c>
      <x:c r="W21" s="3" t="str">
        <x:v>{"side": "BUY", "symbol": "ZECUSDT", "order_id": 6074353109, "quantity": "0.00900000", "price": "1158.12", "quote_amount": "10.42308000", "quote_asset": "USDT", "signal_candle_close_time": 1789167599999, "reason": "dashboard manual buy", "entry_conditions": {"rsi_recovered": true, "near_support": false, "trend_ok": true, "reward_ok": true, "stop_risk_ok": false, "momentum_ok": true}, "environment": "production", "recorded_at": 1789167804}</x:v>
      </x:c>
      <x:c r="X21" s="10" t="n">
        <x:v>0</x:v>
      </x:c>
      <x:c r="Y21" s="8" t="n">
        <x:v>46276.960694444446</x:v>
      </x:c>
      <x:c r="Z21" s="3" t="str">
        <x:v>2026-09-12</x:v>
      </x:c>
      <x:c r="AA21" s="3" t="str">
        <x:v>ACTIVE / MIXED</x:v>
      </x:c>
      <x:c r="AB21" s="8" t="n">
        <x:v>46277.08452546296</x:v>
      </x:c>
      <x:c r="AC21" s="10" t="n">
        <x:v>101</x:v>
      </x:c>
      <x:c r="AD21" s="3" t="str">
        <x:v>near_support, stop_risk_ok</x:v>
      </x:c>
      <x:c r="AE21" s="3"/>
      <x:c r="AF21" s="9"/>
      <x:c r="AG21" s="3"/>
      <x:c r="AH21" s="9"/>
      <x:c r="AI21" s="9"/>
      <x:c r="AJ21" s="3"/>
      <x:c r="AK21" s="9"/>
      <x:c r="AL21" s="3"/>
      <x:c r="AM21" s="3"/>
    </x:row>
    <x:row r="22" ht="21" customHeight="1">
      <x:c r="A22" s="8" t="n">
        <x:v>46277.37521990741</x:v>
      </x:c>
      <x:c r="B22" s="3" t="str">
        <x:v>AAVEUSDT</x:v>
      </x:c>
      <x:c r="C22" s="3" t="str">
        <x:v>SELL</x:v>
      </x:c>
      <x:c r="D22" s="3" t="str">
        <x:v>5703049115</x:v>
      </x:c>
      <x:c r="E22" s="9" t="n">
        <x:v>0.64</x:v>
      </x:c>
      <x:c r="F22" s="9" t="n">
        <x:v>125.23</x:v>
      </x:c>
      <x:c r="G22" s="9" t="n">
        <x:v>80.1472</x:v>
      </x:c>
      <x:c r="H22" s="9" t="n">
        <x:v>0.78493</x:v>
      </x:c>
      <x:c r="I22" s="3"/>
      <x:c r="J22" s="3" t="str">
        <x:v>gross only; actual fees not recorded</x:v>
      </x:c>
      <x:c r="K22" s="3" t="str">
        <x:v>RSI sell signal</x:v>
      </x:c>
      <x:c r="L22" s="3" t="str">
        <x:v>production</x:v>
      </x:c>
      <x:c r="M22" s="10" t="n">
        <x:v>640</x:v>
      </x:c>
      <x:c r="N22" s="3" t="str">
        <x:v>USDT</x:v>
      </x:c>
      <x:c r="O22" s="9"/>
      <x:c r="P22" s="3"/>
      <x:c r="Q22" s="3"/>
      <x:c r="R22" s="3"/>
      <x:c r="S22" s="3"/>
      <x:c r="T22" s="3"/>
      <x:c r="U22" s="3"/>
      <x:c r="V22" s="10" t="n">
        <x:v>1789192819</x:v>
      </x:c>
      <x:c r="W22" s="3" t="str">
        <x:v>{"side": "SELL", "symbol": "AAVEUSDT", "order_id": 5703049115, "quantity": "0.64000000", "price": "125.23", "quote_amount": "80.14720000", "quote_asset": "USDT", "reason": "RSI sell signal", "estimated_pnl_usdt": "0.78493000000000000", "environment": "production", "recorded_at": 1789192819}</x:v>
      </x:c>
      <x:c r="X22" s="10" t="n">
        <x:v>0</x:v>
      </x:c>
      <x:c r="Y22" s="8" t="n">
        <x:v>46277.25021990741</x:v>
      </x:c>
      <x:c r="Z22" s="3" t="str">
        <x:v>2026-09-12</x:v>
      </x:c>
      <x:c r="AA22" s="3" t="str">
        <x:v>ACTIVE / MIXED</x:v>
      </x:c>
      <x:c r="AB22" s="8" t="n">
        <x:v>46277.37211805556</x:v>
      </x:c>
      <x:c r="AC22" s="10" t="n">
        <x:v>268</x:v>
      </x:c>
      <x:c r="AD22" s="3"/>
      <x:c r="AE22" s="3"/>
      <x:c r="AF22" s="9"/>
      <x:c r="AG22" s="3"/>
      <x:c r="AH22" s="9"/>
      <x:c r="AI22" s="9"/>
      <x:c r="AJ22" s="3"/>
      <x:c r="AK22" s="9"/>
      <x:c r="AL22" s="3"/>
      <x:c r="AM22" s="3"/>
    </x:row>
    <x:row r="23" ht="21" customHeight="1">
      <x:c r="A23" s="8" t="n">
        <x:v>46277.41685185185</x:v>
      </x:c>
      <x:c r="B23" s="3" t="str">
        <x:v>ETHUSDT</x:v>
      </x:c>
      <x:c r="C23" s="3" t="str">
        <x:v>BUY</x:v>
      </x:c>
      <x:c r="D23" s="3" t="str">
        <x:v>49771057585</x:v>
      </x:c>
      <x:c r="E23" s="9" t="n">
        <x:v>0.0198</x:v>
      </x:c>
      <x:c r="F23" s="9" t="n">
        <x:v>2520.15</x:v>
      </x:c>
      <x:c r="G23" s="9" t="n">
        <x:v>49.89897</x:v>
      </x:c>
      <x:c r="H23" s="9"/>
      <x:c r="I23" s="3"/>
      <x:c r="J23" s="3" t="str">
        <x:v>gross only; actual fees not recorded</x:v>
      </x:c>
      <x:c r="K23" s="3" t="str">
        <x:v>strategy buy signal</x:v>
      </x:c>
      <x:c r="L23" s="3" t="str">
        <x:v>production</x:v>
      </x:c>
      <x:c r="M23" s="10" t="n">
        <x:v>641</x:v>
      </x:c>
      <x:c r="N23" s="3" t="str">
        <x:v>USDT</x:v>
      </x:c>
      <x:c r="O23" s="9" t="n">
        <x:v>1789196399999</x:v>
      </x:c>
      <x:c r="P23" s="4" t="b">
        <x:v>1</x:v>
      </x:c>
      <x:c r="Q23" s="4" t="b">
        <x:v>1</x:v>
      </x:c>
      <x:c r="R23" s="4" t="b">
        <x:v>1</x:v>
      </x:c>
      <x:c r="S23" s="4" t="b">
        <x:v>1</x:v>
      </x:c>
      <x:c r="T23" s="4" t="b">
        <x:v>1</x:v>
      </x:c>
      <x:c r="U23" s="4" t="b">
        <x:v>0</x:v>
      </x:c>
      <x:c r="V23" s="10" t="n">
        <x:v>1789196416</x:v>
      </x:c>
      <x:c r="W23" s="3" t="str">
        <x:v>{"side": "BUY", "symbol": "ETHUSDT", "order_id": 49771057585, "quantity": "0.01980000", "price": "2520.15", "quote_amount": "49.89897000", "quote_asset": "USDT", "signal_candle_close_time": 1789196399999, "reason": "strategy buy signal", "entry_conditions": {"rsi_recovered": true, "near_support": true, "trend_ok": true, "reward_ok": true, "stop_risk_ok": true, "momentum_ok": false}, "environment": "production", "recorded_at": 1789196416}</x:v>
      </x:c>
      <x:c r="X23" s="10" t="n">
        <x:v>0</x:v>
      </x:c>
      <x:c r="Y23" s="8" t="n">
        <x:v>46277.29185185185</x:v>
      </x:c>
      <x:c r="Z23" s="3" t="str">
        <x:v>2026-09-12</x:v>
      </x:c>
      <x:c r="AA23" s="3" t="str">
        <x:v>ACTIVE / MIXED</x:v>
      </x:c>
      <x:c r="AB23" s="8" t="n">
        <x:v>46277.41427083333</x:v>
      </x:c>
      <x:c r="AC23" s="10" t="n">
        <x:v>223</x:v>
      </x:c>
      <x:c r="AD23" s="3" t="str">
        <x:v>momentum_ok</x:v>
      </x:c>
      <x:c r="AE23" s="3"/>
      <x:c r="AF23" s="9"/>
      <x:c r="AG23" s="3"/>
      <x:c r="AH23" s="9"/>
      <x:c r="AI23" s="9"/>
      <x:c r="AJ23" s="3"/>
      <x:c r="AK23" s="9"/>
      <x:c r="AL23" s="3"/>
      <x:c r="AM23" s="3"/>
    </x:row>
    <x:row r="24" ht="21" customHeight="1">
      <x:c r="A24" s="8" t="n">
        <x:v>46277.69314814815</x:v>
      </x:c>
      <x:c r="B24" s="3" t="str">
        <x:v>BCHUSDT</x:v>
      </x:c>
      <x:c r="C24" s="3" t="str">
        <x:v>BUY</x:v>
      </x:c>
      <x:c r="D24" s="3" t="str">
        <x:v>5499603110</x:v>
      </x:c>
      <x:c r="E24" s="9" t="n">
        <x:v>0.13</x:v>
      </x:c>
      <x:c r="F24" s="9" t="n">
        <x:v>230.7</x:v>
      </x:c>
      <x:c r="G24" s="9" t="n">
        <x:v>29.991</x:v>
      </x:c>
      <x:c r="H24" s="9"/>
      <x:c r="I24" s="3"/>
      <x:c r="J24" s="3" t="str">
        <x:v>gross only; actual fees not recorded</x:v>
      </x:c>
      <x:c r="K24" s="3" t="str">
        <x:v>strategy buy signal</x:v>
      </x:c>
      <x:c r="L24" s="3" t="str">
        <x:v>production</x:v>
      </x:c>
      <x:c r="M24" s="10" t="n">
        <x:v>642</x:v>
      </x:c>
      <x:c r="N24" s="3" t="str">
        <x:v>USDT</x:v>
      </x:c>
      <x:c r="O24" s="9" t="n">
        <x:v>1789219799999</x:v>
      </x:c>
      <x:c r="P24" s="4" t="b">
        <x:v>0</x:v>
      </x:c>
      <x:c r="Q24" s="4" t="b">
        <x:v>1</x:v>
      </x:c>
      <x:c r="R24" s="4" t="b">
        <x:v>1</x:v>
      </x:c>
      <x:c r="S24" s="4" t="b">
        <x:v>1</x:v>
      </x:c>
      <x:c r="T24" s="4" t="b">
        <x:v>1</x:v>
      </x:c>
      <x:c r="U24" s="4" t="b">
        <x:v>1</x:v>
      </x:c>
      <x:c r="V24" s="10" t="n">
        <x:v>1789220288</x:v>
      </x:c>
      <x:c r="W24" s="3" t="str">
        <x:v>{"side": "BUY", "symbol": "BCHUSDT", "order_id": 5499603110, "quantity": "0.13000000", "price": "230.7", "quote_amount": "29.99100000", "quote_asset": "USDT", "signal_candle_close_time": 1789219799999, "reason": "strategy buy signal", "entry_conditions": {"rsi_recovered": false, "near_support": true, "trend_ok": true, "reward_ok": true, "stop_risk_ok": true, "momentum_ok": true}, "environment": "production", "recorded_at": 1789220288}</x:v>
      </x:c>
      <x:c r="X24" s="10" t="n">
        <x:v>0</x:v>
      </x:c>
      <x:c r="Y24" s="8" t="n">
        <x:v>46277.56814814815</x:v>
      </x:c>
      <x:c r="Z24" s="3" t="str">
        <x:v>2026-09-12</x:v>
      </x:c>
      <x:c r="AA24" s="3" t="str">
        <x:v>ACTIVE / POSITIVE</x:v>
      </x:c>
      <x:c r="AB24" s="8" t="n">
        <x:v>46277.692465277774</x:v>
      </x:c>
      <x:c r="AC24" s="10" t="n">
        <x:v>59</x:v>
      </x:c>
      <x:c r="AD24" s="3" t="str">
        <x:v>rsi_recovered</x:v>
      </x:c>
      <x:c r="AE24" s="3"/>
      <x:c r="AF24" s="9"/>
      <x:c r="AG24" s="3"/>
      <x:c r="AH24" s="9"/>
      <x:c r="AI24" s="9"/>
      <x:c r="AJ24" s="3"/>
      <x:c r="AK24" s="9"/>
      <x:c r="AL24" s="3"/>
      <x:c r="AM24" s="3"/>
    </x:row>
    <x:row r="25" ht="21" customHeight="1">
      <x:c r="A25" s="8" t="n">
        <x:v>46277.833553240744</x:v>
      </x:c>
      <x:c r="B25" s="3" t="str">
        <x:v>BCHUSDT</x:v>
      </x:c>
      <x:c r="C25" s="3" t="str">
        <x:v>SELL</x:v>
      </x:c>
      <x:c r="D25" s="3" t="str">
        <x:v>5499657096</x:v>
      </x:c>
      <x:c r="E25" s="9" t="n">
        <x:v>0.13</x:v>
      </x:c>
      <x:c r="F25" s="9" t="n">
        <x:v>228.8</x:v>
      </x:c>
      <x:c r="G25" s="9" t="n">
        <x:v>29.744</x:v>
      </x:c>
      <x:c r="H25" s="9" t="n">
        <x:v>-0.247</x:v>
      </x:c>
      <x:c r="I25" s="3"/>
      <x:c r="J25" s="3" t="str">
        <x:v>gross only; actual fees not recorded</x:v>
      </x:c>
      <x:c r="K25" s="3" t="str">
        <x:v>stop loss</x:v>
      </x:c>
      <x:c r="L25" s="3" t="str">
        <x:v>production</x:v>
      </x:c>
      <x:c r="M25" s="10" t="n">
        <x:v>643</x:v>
      </x:c>
      <x:c r="N25" s="3" t="str">
        <x:v>USDT</x:v>
      </x:c>
      <x:c r="O25" s="9"/>
      <x:c r="P25" s="3"/>
      <x:c r="Q25" s="3"/>
      <x:c r="R25" s="3"/>
      <x:c r="S25" s="3"/>
      <x:c r="T25" s="3"/>
      <x:c r="U25" s="3"/>
      <x:c r="V25" s="10" t="n">
        <x:v>1789232419</x:v>
      </x:c>
      <x:c r="W25" s="3" t="str">
        <x:v>{"side": "SELL", "symbol": "BCHUSDT", "order_id": 5499657096, "quantity": "0.13000000", "price": "228.8", "quote_amount": "29.74400000", "quote_asset": "USDT", "reason": "stop loss", "estimated_pnl_usdt": "-0.247000000", "environment": "production", "recorded_at": 1789232419}</x:v>
      </x:c>
      <x:c r="X25" s="10" t="n">
        <x:v>0</x:v>
      </x:c>
      <x:c r="Y25" s="8" t="n">
        <x:v>46277.708553240744</x:v>
      </x:c>
      <x:c r="Z25" s="3" t="str">
        <x:v>2026-09-12</x:v>
      </x:c>
      <x:c r="AA25" s="3" t="str">
        <x:v>ACTIVE / MIXED</x:v>
      </x:c>
      <x:c r="AB25" s="8" t="n">
        <x:v>46277.8312037037</x:v>
      </x:c>
      <x:c r="AC25" s="10" t="n">
        <x:v>203</x:v>
      </x:c>
      <x:c r="AD25" s="3"/>
      <x:c r="AE25" s="3"/>
      <x:c r="AF25" s="9"/>
      <x:c r="AG25" s="3"/>
      <x:c r="AH25" s="9"/>
      <x:c r="AI25" s="9"/>
      <x:c r="AJ25" s="3"/>
      <x:c r="AK25" s="9"/>
      <x:c r="AL25" s="3"/>
      <x:c r="AM25" s="3"/>
    </x:row>
    <x:row r="26" ht="21" customHeight="1">
      <x:c r="A26" s="8" t="n">
        <x:v>46277.83383101852</x:v>
      </x:c>
      <x:c r="B26" s="3" t="str">
        <x:v>SUIUSDT</x:v>
      </x:c>
      <x:c r="C26" s="3" t="str">
        <x:v>BUY</x:v>
      </x:c>
      <x:c r="D26" s="3" t="str">
        <x:v>8848563803</x:v>
      </x:c>
      <x:c r="E26" s="9" t="n">
        <x:v>54.9</x:v>
      </x:c>
      <x:c r="F26" s="9" t="n">
        <x:v>0.7275</x:v>
      </x:c>
      <x:c r="G26" s="9" t="n">
        <x:v>39.93975</x:v>
      </x:c>
      <x:c r="H26" s="9"/>
      <x:c r="I26" s="3"/>
      <x:c r="J26" s="3" t="str">
        <x:v>gross only; actual fees not recorded</x:v>
      </x:c>
      <x:c r="K26" s="3" t="str">
        <x:v>strategy buy signal</x:v>
      </x:c>
      <x:c r="L26" s="3" t="str">
        <x:v>production</x:v>
      </x:c>
      <x:c r="M26" s="10" t="n">
        <x:v>644</x:v>
      </x:c>
      <x:c r="N26" s="3" t="str">
        <x:v>USDT</x:v>
      </x:c>
      <x:c r="O26" s="9" t="n">
        <x:v>1789232399999</x:v>
      </x:c>
      <x:c r="P26" s="4" t="b">
        <x:v>0</x:v>
      </x:c>
      <x:c r="Q26" s="4" t="b">
        <x:v>1</x:v>
      </x:c>
      <x:c r="R26" s="4" t="b">
        <x:v>1</x:v>
      </x:c>
      <x:c r="S26" s="4" t="b">
        <x:v>1</x:v>
      </x:c>
      <x:c r="T26" s="4" t="b">
        <x:v>1</x:v>
      </x:c>
      <x:c r="U26" s="4" t="b">
        <x:v>1</x:v>
      </x:c>
      <x:c r="V26" s="10" t="n">
        <x:v>1789232443</x:v>
      </x:c>
      <x:c r="W26" s="3" t="str">
        <x:v>{"side": "BUY", "symbol": "SUIUSDT", "order_id": 8848563803, "quantity": "54.90000000", "price": "0.7275", "quote_amount": "39.93975000", "quote_asset": "USDT", "signal_candle_close_time": 1789232399999, "reason": "strategy buy signal", "entry_conditions": {"rsi_recovered": false, "near_support": true, "trend_ok": true, "reward_ok": true, "stop_risk_ok": true, "momentum_ok": true}, "environment": "production", "recorded_at": 1789232443}</x:v>
      </x:c>
      <x:c r="X26" s="10" t="n">
        <x:v>0</x:v>
      </x:c>
      <x:c r="Y26" s="8" t="n">
        <x:v>46277.70883101852</x:v>
      </x:c>
      <x:c r="Z26" s="3" t="str">
        <x:v>2026-09-12</x:v>
      </x:c>
      <x:c r="AA26" s="3" t="str">
        <x:v>ACTIVE / MIXED</x:v>
      </x:c>
      <x:c r="AB26" s="8" t="n">
        <x:v>46277.8312037037</x:v>
      </x:c>
      <x:c r="AC26" s="10" t="n">
        <x:v>227</x:v>
      </x:c>
      <x:c r="AD26" s="3" t="str">
        <x:v>rsi_recovered</x:v>
      </x:c>
      <x:c r="AE26" s="3"/>
      <x:c r="AF26" s="9"/>
      <x:c r="AG26" s="3"/>
      <x:c r="AH26" s="9"/>
      <x:c r="AI26" s="9"/>
      <x:c r="AJ26" s="3"/>
      <x:c r="AK26" s="9"/>
      <x:c r="AL26" s="3"/>
      <x:c r="AM26" s="3"/>
    </x:row>
    <x:row r="27" ht="21" customHeight="1">
      <x:c r="A27" s="8" t="n">
        <x:v>46277.92407407407</x:v>
      </x:c>
      <x:c r="B27" s="3" t="str">
        <x:v>SUIUSDT</x:v>
      </x:c>
      <x:c r="C27" s="3" t="str">
        <x:v>SELL</x:v>
      </x:c>
      <x:c r="D27" s="3" t="str">
        <x:v>8848683150</x:v>
      </x:c>
      <x:c r="E27" s="9" t="n">
        <x:v>54.9</x:v>
      </x:c>
      <x:c r="F27" s="9" t="n">
        <x:v>0.7212</x:v>
      </x:c>
      <x:c r="G27" s="9" t="n">
        <x:v>39.59388</x:v>
      </x:c>
      <x:c r="H27" s="9" t="n">
        <x:v>-0.34587</x:v>
      </x:c>
      <x:c r="I27" s="3"/>
      <x:c r="J27" s="3" t="str">
        <x:v>gross only; actual fees not recorded</x:v>
      </x:c>
      <x:c r="K27" s="3" t="str">
        <x:v>stop loss</x:v>
      </x:c>
      <x:c r="L27" s="3" t="str">
        <x:v>production</x:v>
      </x:c>
      <x:c r="M27" s="10" t="n">
        <x:v>645</x:v>
      </x:c>
      <x:c r="N27" s="3" t="str">
        <x:v>USDT</x:v>
      </x:c>
      <x:c r="O27" s="9"/>
      <x:c r="P27" s="3"/>
      <x:c r="Q27" s="3"/>
      <x:c r="R27" s="3"/>
      <x:c r="S27" s="3"/>
      <x:c r="T27" s="3"/>
      <x:c r="U27" s="3"/>
      <x:c r="V27" s="10" t="n">
        <x:v>1789240240</x:v>
      </x:c>
      <x:c r="W27" s="3" t="str">
        <x:v>{"side": "SELL", "symbol": "SUIUSDT", "order_id": 8848683150, "quantity": "54.90000000", "price": "0.7212", "quote_amount": "39.59388000", "quote_asset": "USDT", "reason": "stop loss", "estimated_pnl_usdt": "-0.345870000000", "environment": "production", "recorded_at": 1789240240}</x:v>
      </x:c>
      <x:c r="X27" s="10" t="n">
        <x:v>0</x:v>
      </x:c>
      <x:c r="Y27" s="8" t="n">
        <x:v>46277.79907407407</x:v>
      </x:c>
      <x:c r="Z27" s="3" t="str">
        <x:v>2026-09-12</x:v>
      </x:c>
      <x:c r="AA27" s="3" t="str">
        <x:v>ACTIVE / MIXED</x:v>
      </x:c>
      <x:c r="AB27" s="8" t="n">
        <x:v>46277.91606481482</x:v>
      </x:c>
      <x:c r="AC27" s="10" t="n">
        <x:v>692</x:v>
      </x:c>
      <x:c r="AD27" s="3"/>
      <x:c r="AE27" s="3"/>
      <x:c r="AF27" s="9"/>
      <x:c r="AG27" s="3"/>
      <x:c r="AH27" s="9"/>
      <x:c r="AI27" s="9"/>
      <x:c r="AJ27" s="3"/>
      <x:c r="AK27" s="9"/>
      <x:c r="AL27" s="3"/>
      <x:c r="AM27" s="3"/>
    </x:row>
    <x:row r="28" ht="21" customHeight="1">
      <x:c r="A28" s="8" t="n">
        <x:v>46277.937060185184</x:v>
      </x:c>
      <x:c r="B28" s="3" t="str">
        <x:v>SUIUSDT</x:v>
      </x:c>
      <x:c r="C28" s="3" t="str">
        <x:v>BUY</x:v>
      </x:c>
      <x:c r="D28" s="3" t="str">
        <x:v>8848703924</x:v>
      </x:c>
      <x:c r="E28" s="9" t="n">
        <x:v>27.6</x:v>
      </x:c>
      <x:c r="F28" s="9" t="n">
        <x:v>0.7225</x:v>
      </x:c>
      <x:c r="G28" s="9" t="n">
        <x:v>19.941</x:v>
      </x:c>
      <x:c r="H28" s="9"/>
      <x:c r="I28" s="3"/>
      <x:c r="J28" s="3" t="str">
        <x:v>gross only; actual fees not recorded</x:v>
      </x:c>
      <x:c r="K28" s="3" t="str">
        <x:v>dashboard manual buy</x:v>
      </x:c>
      <x:c r="L28" s="3" t="str">
        <x:v>production</x:v>
      </x:c>
      <x:c r="M28" s="10" t="n">
        <x:v>646</x:v>
      </x:c>
      <x:c r="N28" s="3" t="str">
        <x:v>USDT</x:v>
      </x:c>
      <x:c r="O28" s="9" t="n">
        <x:v>1789241099999</x:v>
      </x:c>
      <x:c r="P28" s="4" t="b">
        <x:v>0</x:v>
      </x:c>
      <x:c r="Q28" s="4" t="b">
        <x:v>1</x:v>
      </x:c>
      <x:c r="R28" s="4" t="b">
        <x:v>0</x:v>
      </x:c>
      <x:c r="S28" s="4" t="b">
        <x:v>1</x:v>
      </x:c>
      <x:c r="T28" s="4" t="b">
        <x:v>1</x:v>
      </x:c>
      <x:c r="U28" s="4" t="b">
        <x:v>0</x:v>
      </x:c>
      <x:c r="V28" s="10" t="n">
        <x:v>1789241362</x:v>
      </x:c>
      <x:c r="W28" s="3" t="str">
        <x:v>{"side": "BUY", "symbol": "SUIUSDT", "order_id": 8848703924, "quantity": "27.60000000", "price": "0.7225", "quote_amount": "19.94100000", "quote_asset": "USDT", "signal_candle_close_time": 1789241099999, "reason": "dashboard manual buy", "entry_conditions": {"rsi_recovered": false, "near_support": true, "trend_ok": false, "reward_ok": true, "stop_risk_ok": true, "momentum_ok": false}, "environment": "production", "recorded_at": 1789241362}</x:v>
      </x:c>
      <x:c r="X28" s="10" t="n">
        <x:v>0</x:v>
      </x:c>
      <x:c r="Y28" s="8" t="n">
        <x:v>46277.812060185184</x:v>
      </x:c>
      <x:c r="Z28" s="3" t="str">
        <x:v>2026-09-12</x:v>
      </x:c>
      <x:c r="AA28" s="3" t="str">
        <x:v>ACTIVE / MIXED</x:v>
      </x:c>
      <x:c r="AB28" s="8" t="n">
        <x:v>46277.92668981481</x:v>
      </x:c>
      <x:c r="AC28" s="10" t="n">
        <x:v>896</x:v>
      </x:c>
      <x:c r="AD28" s="3" t="str">
        <x:v>rsi_recovered, trend_ok, momentum_ok</x:v>
      </x:c>
      <x:c r="AE28" s="3"/>
      <x:c r="AF28" s="9"/>
      <x:c r="AG28" s="3"/>
      <x:c r="AH28" s="9"/>
      <x:c r="AI28" s="9"/>
      <x:c r="AJ28" s="3"/>
      <x:c r="AK28" s="9"/>
      <x:c r="AL28" s="3"/>
      <x:c r="AM28" s="3"/>
    </x:row>
    <x:row r="29" ht="21" customHeight="1">
      <x:c r="A29" s="8" t="n">
        <x:v>46277.94113425926</x:v>
      </x:c>
      <x:c r="B29" s="3" t="str">
        <x:v>ZECUSDT</x:v>
      </x:c>
      <x:c r="C29" s="3" t="str">
        <x:v>SELL</x:v>
      </x:c>
      <x:c r="D29" s="3" t="str">
        <x:v>6085441888</x:v>
      </x:c>
      <x:c r="E29" s="9" t="n">
        <x:v>0.009</x:v>
      </x:c>
      <x:c r="F29" s="9" t="n">
        <x:v>1118.36</x:v>
      </x:c>
      <x:c r="G29" s="9" t="n">
        <x:v>10.06524</x:v>
      </x:c>
      <x:c r="H29" s="9" t="n">
        <x:v>-0.35784</x:v>
      </x:c>
      <x:c r="I29" s="3"/>
      <x:c r="J29" s="3" t="str">
        <x:v>gross only; actual fees not recorded</x:v>
      </x:c>
      <x:c r="K29" s="3" t="str">
        <x:v>stop loss</x:v>
      </x:c>
      <x:c r="L29" s="3" t="str">
        <x:v>production</x:v>
      </x:c>
      <x:c r="M29" s="10" t="n">
        <x:v>647</x:v>
      </x:c>
      <x:c r="N29" s="3" t="str">
        <x:v>USDT</x:v>
      </x:c>
      <x:c r="O29" s="9"/>
      <x:c r="P29" s="3"/>
      <x:c r="Q29" s="3"/>
      <x:c r="R29" s="3"/>
      <x:c r="S29" s="3"/>
      <x:c r="T29" s="3"/>
      <x:c r="U29" s="3"/>
      <x:c r="V29" s="10" t="n">
        <x:v>1789241714</x:v>
      </x:c>
      <x:c r="W29" s="3" t="str">
        <x:v>{"side": "SELL", "symbol": "ZECUSDT", "order_id": 6085441888, "quantity": "0.00900000", "price": "1118.36", "quote_amount": "10.06524000", "quote_asset": "USDT", "reason": "stop loss", "estimated_pnl_usdt": "-0.3578400000", "environment": "production", "recorded_at": 1789241714}</x:v>
      </x:c>
      <x:c r="X29" s="10" t="n">
        <x:v>0</x:v>
      </x:c>
      <x:c r="Y29" s="8" t="n">
        <x:v>46277.81613425926</x:v>
      </x:c>
      <x:c r="Z29" s="3" t="str">
        <x:v>2026-09-12</x:v>
      </x:c>
      <x:c r="AA29" s="3" t="str">
        <x:v>ACTIVE / MIXED</x:v>
      </x:c>
      <x:c r="AB29" s="8" t="n">
        <x:v>46277.93751157408</x:v>
      </x:c>
      <x:c r="AC29" s="10" t="n">
        <x:v>313</x:v>
      </x:c>
      <x:c r="AD29" s="3"/>
      <x:c r="AE29" s="3"/>
      <x:c r="AF29" s="9"/>
      <x:c r="AG29" s="3"/>
      <x:c r="AH29" s="9"/>
      <x:c r="AI29" s="9"/>
      <x:c r="AJ29" s="3"/>
      <x:c r="AK29" s="9"/>
      <x:c r="AL29" s="3"/>
      <x:c r="AM29" s="3"/>
    </x:row>
    <x:row r="30" ht="21" customHeight="1">
      <x:c r="A30" s="8" t="n">
        <x:v>46277.972650462965</x:v>
      </x:c>
      <x:c r="B30" s="3" t="str">
        <x:v>ADAUSDT</x:v>
      </x:c>
      <x:c r="C30" s="3" t="str">
        <x:v>BUY</x:v>
      </x:c>
      <x:c r="D30" s="3" t="str">
        <x:v>8786067825</x:v>
      </x:c>
      <x:c r="E30" s="9" t="n">
        <x:v>147.6</x:v>
      </x:c>
      <x:c r="F30" s="9" t="n">
        <x:v>0.2079</x:v>
      </x:c>
      <x:c r="G30" s="9" t="n">
        <x:v>30.68604</x:v>
      </x:c>
      <x:c r="H30" s="9"/>
      <x:c r="I30" s="3"/>
      <x:c r="J30" s="3" t="str">
        <x:v>gross only; actual fees not recorded</x:v>
      </x:c>
      <x:c r="K30" s="3" t="str">
        <x:v>strategy buy signal</x:v>
      </x:c>
      <x:c r="L30" s="3" t="str">
        <x:v>production</x:v>
      </x:c>
      <x:c r="M30" s="10" t="n">
        <x:v>648</x:v>
      </x:c>
      <x:c r="N30" s="3" t="str">
        <x:v>USDT</x:v>
      </x:c>
      <x:c r="O30" s="9" t="n">
        <x:v>1789244399999</x:v>
      </x:c>
      <x:c r="P30" s="4" t="b">
        <x:v>0</x:v>
      </x:c>
      <x:c r="Q30" s="4" t="b">
        <x:v>1</x:v>
      </x:c>
      <x:c r="R30" s="4" t="b">
        <x:v>1</x:v>
      </x:c>
      <x:c r="S30" s="4" t="b">
        <x:v>1</x:v>
      </x:c>
      <x:c r="T30" s="4" t="b">
        <x:v>1</x:v>
      </x:c>
      <x:c r="U30" s="4" t="b">
        <x:v>1</x:v>
      </x:c>
      <x:c r="V30" s="10" t="n">
        <x:v>1789244437</x:v>
      </x:c>
      <x:c r="W30" s="3" t="str">
        <x:v>{"side": "BUY", "symbol": "ADAUSDT", "order_id": 8786067825, "quantity": "147.60000000", "price": "0.2079", "quote_amount": "30.68604000", "quote_asset": "USDT", "signal_candle_close_time": 1789244399999, "reason": "strategy buy signal", "entry_conditions": {"rsi_recovered": false, "near_support": true, "trend_ok": true, "reward_ok": true, "stop_risk_ok": true, "momentum_ok": true}, "environment": "production", "recorded_at": 1789244437}</x:v>
      </x:c>
      <x:c r="X30" s="10" t="n">
        <x:v>0</x:v>
      </x:c>
      <x:c r="Y30" s="8" t="n">
        <x:v>46277.847650462965</x:v>
      </x:c>
      <x:c r="Z30" s="3" t="str">
        <x:v>2026-09-12</x:v>
      </x:c>
      <x:c r="AA30" s="3" t="str">
        <x:v>ACTIVE / MIXED</x:v>
      </x:c>
      <x:c r="AB30" s="8" t="n">
        <x:v>46277.97016203704</x:v>
      </x:c>
      <x:c r="AC30" s="10" t="n">
        <x:v>215</x:v>
      </x:c>
      <x:c r="AD30" s="3" t="str">
        <x:v>rsi_recovered</x:v>
      </x:c>
      <x:c r="AE30" s="3"/>
      <x:c r="AF30" s="9"/>
      <x:c r="AG30" s="3"/>
      <x:c r="AH30" s="9"/>
      <x:c r="AI30" s="9"/>
      <x:c r="AJ30" s="3"/>
      <x:c r="AK30" s="9"/>
      <x:c r="AL30" s="3"/>
      <x:c r="AM30" s="3"/>
    </x:row>
    <x:row r="31" ht="21" customHeight="1">
      <x:c r="A31" s="8" t="n">
        <x:v>46278.00763888889</x:v>
      </x:c>
      <x:c r="B31" s="3" t="str">
        <x:v>ETHUSDT</x:v>
      </x:c>
      <x:c r="C31" s="3" t="str">
        <x:v>SELL</x:v>
      </x:c>
      <x:c r="D31" s="3" t="str">
        <x:v>49776149503</x:v>
      </x:c>
      <x:c r="E31" s="9" t="n">
        <x:v>0.0198</x:v>
      </x:c>
      <x:c r="F31" s="9" t="n">
        <x:v>2528</x:v>
      </x:c>
      <x:c r="G31" s="9" t="n">
        <x:v>50.0544</x:v>
      </x:c>
      <x:c r="H31" s="9" t="n">
        <x:v>0.15543</x:v>
      </x:c>
      <x:c r="I31" s="3"/>
      <x:c r="J31" s="3" t="str">
        <x:v>gross only; actual fees not recorded</x:v>
      </x:c>
      <x:c r="K31" s="3" t="str">
        <x:v>dashboard manual sell</x:v>
      </x:c>
      <x:c r="L31" s="3" t="str">
        <x:v>production</x:v>
      </x:c>
      <x:c r="M31" s="10" t="n">
        <x:v>649</x:v>
      </x:c>
      <x:c r="N31" s="3" t="str">
        <x:v>USDT</x:v>
      </x:c>
      <x:c r="O31" s="9"/>
      <x:c r="P31" s="3"/>
      <x:c r="Q31" s="3"/>
      <x:c r="R31" s="3"/>
      <x:c r="S31" s="3"/>
      <x:c r="T31" s="3"/>
      <x:c r="U31" s="3"/>
      <x:c r="V31" s="10" t="n">
        <x:v>1789247460</x:v>
      </x:c>
      <x:c r="W31" s="3" t="str">
        <x:v>{"side": "SELL", "symbol": "ETHUSDT", "order_id": 49776149503, "quantity": "0.01980000", "price": "2528", "quote_amount": "50.05440000", "quote_asset": "USDT", "reason": "dashboard manual sell", "estimated_pnl_usdt": "0.1554300000", "environment": "production", "recorded_at": 1789247460}</x:v>
      </x:c>
      <x:c r="X31" s="10" t="n">
        <x:v>0</x:v>
      </x:c>
      <x:c r="Y31" s="8" t="n">
        <x:v>46277.88263888889</x:v>
      </x:c>
      <x:c r="Z31" s="3" t="str">
        <x:v>2026-09-13</x:v>
      </x:c>
      <x:c r="AA31" s="3" t="str">
        <x:v>ACTIVE / MIXED</x:v>
      </x:c>
      <x:c r="AB31" s="8" t="n">
        <x:v>46278.00261574074</x:v>
      </x:c>
      <x:c r="AC31" s="10" t="n">
        <x:v>434</x:v>
      </x:c>
      <x:c r="AD31" s="3"/>
      <x:c r="AE31" s="3"/>
      <x:c r="AF31" s="9"/>
      <x:c r="AG31" s="3"/>
      <x:c r="AH31" s="9"/>
      <x:c r="AI31" s="9"/>
      <x:c r="AJ31" s="3"/>
      <x:c r="AK31" s="9"/>
      <x:c r="AL31" s="3"/>
      <x:c r="AM31" s="3"/>
    </x:row>
    <x:row r="32" ht="21" customHeight="1">
      <x:c r="A32" s="8" t="n">
        <x:v>46278.01054398148</x:v>
      </x:c>
      <x:c r="B32" s="3" t="str">
        <x:v>PEPEUSDT</x:v>
      </x:c>
      <x:c r="C32" s="3" t="str">
        <x:v>BUY</x:v>
      </x:c>
      <x:c r="D32" s="3" t="str">
        <x:v>5415337392</x:v>
      </x:c>
      <x:c r="E32" s="9" t="n">
        <x:v>5847953</x:v>
      </x:c>
      <x:c r="F32" s="9" t="n">
        <x:v>0.00000342</x:v>
      </x:c>
      <x:c r="G32" s="9" t="n">
        <x:v>19.99999926</x:v>
      </x:c>
      <x:c r="H32" s="9"/>
      <x:c r="I32" s="3"/>
      <x:c r="J32" s="3" t="str">
        <x:v>gross only; actual fees not recorded</x:v>
      </x:c>
      <x:c r="K32" s="3" t="str">
        <x:v>strategy buy signal</x:v>
      </x:c>
      <x:c r="L32" s="3" t="str">
        <x:v>production</x:v>
      </x:c>
      <x:c r="M32" s="10" t="n">
        <x:v>650</x:v>
      </x:c>
      <x:c r="N32" s="3" t="str">
        <x:v>USDT</x:v>
      </x:c>
      <x:c r="O32" s="9" t="n">
        <x:v>1789247699999</x:v>
      </x:c>
      <x:c r="P32" s="4" t="b">
        <x:v>0</x:v>
      </x:c>
      <x:c r="Q32" s="4" t="b">
        <x:v>1</x:v>
      </x:c>
      <x:c r="R32" s="4" t="b">
        <x:v>1</x:v>
      </x:c>
      <x:c r="S32" s="4" t="b">
        <x:v>1</x:v>
      </x:c>
      <x:c r="T32" s="4" t="b">
        <x:v>1</x:v>
      </x:c>
      <x:c r="U32" s="4" t="b">
        <x:v>1</x:v>
      </x:c>
      <x:c r="V32" s="10" t="n">
        <x:v>1789247711</x:v>
      </x:c>
      <x:c r="W32" s="3" t="str">
        <x:v>{"side": "BUY", "symbol": "PEPEUSDT", "order_id": 5415337392, "quantity": "5847953.00", "price": "0.00000342", "quote_amount": "19.99999926", "quote_asset": "USDT", "signal_candle_close_time": 1789247699999, "reason": "strategy buy signal", "entry_conditions": {"rsi_recovered": false, "near_support": true, "trend_ok": true, "reward_ok": true, "stop_risk_ok": true, "momentum_ok": true}, "environment": "production", "recorded_at": 1789247711}</x:v>
      </x:c>
      <x:c r="X32" s="10" t="n">
        <x:v>0</x:v>
      </x:c>
      <x:c r="Y32" s="8" t="n">
        <x:v>46277.88554398148</x:v>
      </x:c>
      <x:c r="Z32" s="3" t="str">
        <x:v>2026-09-13</x:v>
      </x:c>
      <x:c r="AA32" s="3" t="str">
        <x:v>ACTIVE / MIXED</x:v>
      </x:c>
      <x:c r="AB32" s="8" t="n">
        <x:v>46278.00261574074</x:v>
      </x:c>
      <x:c r="AC32" s="10" t="n">
        <x:v>685</x:v>
      </x:c>
      <x:c r="AD32" s="3" t="str">
        <x:v>rsi_recovered</x:v>
      </x:c>
      <x:c r="AE32" s="3"/>
      <x:c r="AF32" s="9"/>
      <x:c r="AG32" s="3"/>
      <x:c r="AH32" s="9"/>
      <x:c r="AI32" s="9"/>
      <x:c r="AJ32" s="3"/>
      <x:c r="AK32" s="9"/>
      <x:c r="AL32" s="3"/>
      <x:c r="AM32" s="3"/>
    </x:row>
    <x:row r="33" ht="21" customHeight="1">
      <x:c r="A33" s="8" t="n">
        <x:v>46278.01055555556</x:v>
      </x:c>
      <x:c r="B33" s="3" t="str">
        <x:v>ETHUSDT</x:v>
      </x:c>
      <x:c r="C33" s="3" t="str">
        <x:v>BUY</x:v>
      </x:c>
      <x:c r="D33" s="3" t="str">
        <x:v>49776195771</x:v>
      </x:c>
      <x:c r="E33" s="9" t="n">
        <x:v>0.0079</x:v>
      </x:c>
      <x:c r="F33" s="9" t="n">
        <x:v>2525.98</x:v>
      </x:c>
      <x:c r="G33" s="9" t="n">
        <x:v>19.955242</x:v>
      </x:c>
      <x:c r="H33" s="9"/>
      <x:c r="I33" s="3"/>
      <x:c r="J33" s="3" t="str">
        <x:v>gross only; actual fees not recorded</x:v>
      </x:c>
      <x:c r="K33" s="3" t="str">
        <x:v>strategy buy signal</x:v>
      </x:c>
      <x:c r="L33" s="3" t="str">
        <x:v>production</x:v>
      </x:c>
      <x:c r="M33" s="10" t="n">
        <x:v>651</x:v>
      </x:c>
      <x:c r="N33" s="3" t="str">
        <x:v>USDT</x:v>
      </x:c>
      <x:c r="O33" s="9" t="n">
        <x:v>1789247699999</x:v>
      </x:c>
      <x:c r="P33" s="4" t="b">
        <x:v>0</x:v>
      </x:c>
      <x:c r="Q33" s="4" t="b">
        <x:v>1</x:v>
      </x:c>
      <x:c r="R33" s="4" t="b">
        <x:v>1</x:v>
      </x:c>
      <x:c r="S33" s="4" t="b">
        <x:v>1</x:v>
      </x:c>
      <x:c r="T33" s="4" t="b">
        <x:v>1</x:v>
      </x:c>
      <x:c r="U33" s="4" t="b">
        <x:v>1</x:v>
      </x:c>
      <x:c r="V33" s="10" t="n">
        <x:v>1789247712</x:v>
      </x:c>
      <x:c r="W33" s="3" t="str">
        <x:v>{"side": "BUY", "symbol": "ETHUSDT", "order_id": 49776195771, "quantity": "0.00790000", "price": "2525.98", "quote_amount": "19.95524200", "quote_asset": "USDT", "signal_candle_close_time": 1789247699999, "reason": "strategy buy signal", "entry_conditions": {"rsi_recovered": false, "near_support": true, "trend_ok": true, "reward_ok": true, "stop_risk_ok": true, "momentum_ok": true}, "environment": "production", "recorded_at": 1789247712}</x:v>
      </x:c>
      <x:c r="X33" s="10" t="n">
        <x:v>0</x:v>
      </x:c>
      <x:c r="Y33" s="8" t="n">
        <x:v>46277.88555555556</x:v>
      </x:c>
      <x:c r="Z33" s="3" t="str">
        <x:v>2026-09-13</x:v>
      </x:c>
      <x:c r="AA33" s="3" t="str">
        <x:v>ACTIVE / MIXED</x:v>
      </x:c>
      <x:c r="AB33" s="8" t="n">
        <x:v>46278.00261574074</x:v>
      </x:c>
      <x:c r="AC33" s="10" t="n">
        <x:v>686</x:v>
      </x:c>
      <x:c r="AD33" s="3" t="str">
        <x:v>rsi_recovered</x:v>
      </x:c>
      <x:c r="AE33" s="3"/>
      <x:c r="AF33" s="9"/>
      <x:c r="AG33" s="3"/>
      <x:c r="AH33" s="9"/>
      <x:c r="AI33" s="9"/>
      <x:c r="AJ33" s="3"/>
      <x:c r="AK33" s="9"/>
      <x:c r="AL33" s="3"/>
      <x:c r="AM33" s="3"/>
    </x:row>
    <x:row r="34" ht="21" customHeight="1">
      <x:c r="A34" s="8" t="n">
        <x:v>46278.02112268518</x:v>
      </x:c>
      <x:c r="B34" s="3" t="str">
        <x:v>ADAUSDT</x:v>
      </x:c>
      <x:c r="C34" s="3" t="str">
        <x:v>SELL</x:v>
      </x:c>
      <x:c r="D34" s="3" t="str">
        <x:v>8786086619</x:v>
      </x:c>
      <x:c r="E34" s="9" t="n">
        <x:v>147.6</x:v>
      </x:c>
      <x:c r="F34" s="9" t="n">
        <x:v>0.2069</x:v>
      </x:c>
      <x:c r="G34" s="9" t="n">
        <x:v>30.53844</x:v>
      </x:c>
      <x:c r="H34" s="9" t="n">
        <x:v>-0.1476</x:v>
      </x:c>
      <x:c r="I34" s="3"/>
      <x:c r="J34" s="3" t="str">
        <x:v>gross only; actual fees not recorded</x:v>
      </x:c>
      <x:c r="K34" s="3" t="str">
        <x:v>stop loss</x:v>
      </x:c>
      <x:c r="L34" s="3" t="str">
        <x:v>production</x:v>
      </x:c>
      <x:c r="M34" s="10" t="n">
        <x:v>652</x:v>
      </x:c>
      <x:c r="N34" s="3" t="str">
        <x:v>USDT</x:v>
      </x:c>
      <x:c r="O34" s="9"/>
      <x:c r="P34" s="3"/>
      <x:c r="Q34" s="3"/>
      <x:c r="R34" s="3"/>
      <x:c r="S34" s="3"/>
      <x:c r="T34" s="3"/>
      <x:c r="U34" s="3"/>
      <x:c r="V34" s="10" t="n">
        <x:v>1789248625</x:v>
      </x:c>
      <x:c r="W34" s="3" t="str">
        <x:v>{"side": "SELL", "symbol": "ADAUSDT", "order_id": 8786086619, "quantity": "147.60000000", "price": "0.2069", "quote_amount": "30.53844000", "quote_asset": "USDT", "reason": "stop loss", "estimated_pnl_usdt": "-0.147600000000", "environment": "production", "recorded_at": 1789248625}</x:v>
      </x:c>
      <x:c r="X34" s="10" t="n">
        <x:v>0</x:v>
      </x:c>
      <x:c r="Y34" s="8" t="n">
        <x:v>46277.89612268518</x:v>
      </x:c>
      <x:c r="Z34" s="3" t="str">
        <x:v>2026-09-13</x:v>
      </x:c>
      <x:c r="AA34" s="3" t="str">
        <x:v>ACTIVE / MIXED</x:v>
      </x:c>
      <x:c r="AB34" s="8" t="n">
        <x:v>46278.013078703705</x:v>
      </x:c>
      <x:c r="AC34" s="10" t="n">
        <x:v>695</x:v>
      </x:c>
      <x:c r="AD34" s="3"/>
      <x:c r="AE34" s="3"/>
      <x:c r="AF34" s="9"/>
      <x:c r="AG34" s="3"/>
      <x:c r="AH34" s="9"/>
      <x:c r="AI34" s="9"/>
      <x:c r="AJ34" s="3"/>
      <x:c r="AK34" s="9"/>
      <x:c r="AL34" s="3"/>
      <x:c r="AM34" s="3"/>
    </x:row>
    <x:row r="35" ht="21" customHeight="1">
      <x:c r="A35" s="8" t="n">
        <x:v>46278.031539351854</x:v>
      </x:c>
      <x:c r="B35" s="3" t="str">
        <x:v>LINKUSDT</x:v>
      </x:c>
      <x:c r="C35" s="3" t="str">
        <x:v>BUY</x:v>
      </x:c>
      <x:c r="D35" s="3" t="str">
        <x:v>8008437684</x:v>
      </x:c>
      <x:c r="E35" s="9" t="n">
        <x:v>2.6</x:v>
      </x:c>
      <x:c r="F35" s="9" t="n">
        <x:v>11.526</x:v>
      </x:c>
      <x:c r="G35" s="9" t="n">
        <x:v>29.9676</x:v>
      </x:c>
      <x:c r="H35" s="9"/>
      <x:c r="I35" s="3"/>
      <x:c r="J35" s="3" t="str">
        <x:v>gross only; actual fees not recorded</x:v>
      </x:c>
      <x:c r="K35" s="3" t="str">
        <x:v>strategy buy signal</x:v>
      </x:c>
      <x:c r="L35" s="3" t="str">
        <x:v>production</x:v>
      </x:c>
      <x:c r="M35" s="10" t="n">
        <x:v>653</x:v>
      </x:c>
      <x:c r="N35" s="3" t="str">
        <x:v>USDT</x:v>
      </x:c>
      <x:c r="O35" s="9" t="n">
        <x:v>1789249499999</x:v>
      </x:c>
      <x:c r="P35" s="4" t="b">
        <x:v>0</x:v>
      </x:c>
      <x:c r="Q35" s="4" t="b">
        <x:v>1</x:v>
      </x:c>
      <x:c r="R35" s="4" t="b">
        <x:v>1</x:v>
      </x:c>
      <x:c r="S35" s="4" t="b">
        <x:v>1</x:v>
      </x:c>
      <x:c r="T35" s="4" t="b">
        <x:v>1</x:v>
      </x:c>
      <x:c r="U35" s="4" t="b">
        <x:v>1</x:v>
      </x:c>
      <x:c r="V35" s="10" t="n">
        <x:v>1789249525</x:v>
      </x:c>
      <x:c r="W35" s="3" t="str">
        <x:v>{"side": "BUY", "symbol": "LINKUSDT", "order_id": 8008437684, "quantity": "2.60000000", "price": "11.526", "quote_amount": "29.96760000", "quote_asset": "USDT", "signal_candle_close_time": 1789249499999, "reason": "strategy buy signal", "entry_conditions": {"rsi_recovered": false, "near_support": true, "trend_ok": true, "reward_ok": true, "stop_risk_ok": true, "momentum_ok": true}, "environment": "production", "recorded_at": 1789249525}</x:v>
      </x:c>
      <x:c r="X35" s="10" t="n">
        <x:v>0</x:v>
      </x:c>
      <x:c r="Y35" s="8" t="n">
        <x:v>46277.906539351854</x:v>
      </x:c>
      <x:c r="Z35" s="3" t="str">
        <x:v>2026-09-13</x:v>
      </x:c>
      <x:c r="AA35" s="3" t="str">
        <x:v>ACTIVE / MIXED</x:v>
      </x:c>
      <x:c r="AB35" s="8" t="n">
        <x:v>46278.02359953704</x:v>
      </x:c>
      <x:c r="AC35" s="10" t="n">
        <x:v>686</x:v>
      </x:c>
      <x:c r="AD35" s="3" t="str">
        <x:v>rsi_recovered</x:v>
      </x:c>
      <x:c r="AE35" s="3"/>
      <x:c r="AF35" s="9"/>
      <x:c r="AG35" s="3"/>
      <x:c r="AH35" s="9"/>
      <x:c r="AI35" s="9"/>
      <x:c r="AJ35" s="3"/>
      <x:c r="AK35" s="9"/>
      <x:c r="AL35" s="3"/>
      <x:c r="AM35" s="3"/>
    </x:row>
    <x:row r="36" ht="21" customHeight="1">
      <x:c r="A36" s="8" t="n">
        <x:v>46278.03665509259</x:v>
      </x:c>
      <x:c r="B36" s="3" t="str">
        <x:v>UNIUSDT</x:v>
      </x:c>
      <x:c r="C36" s="3" t="str">
        <x:v>BUY</x:v>
      </x:c>
      <x:c r="D36" s="3" t="str">
        <x:v>5334482418</x:v>
      </x:c>
      <x:c r="E36" s="9" t="n">
        <x:v>4.73</x:v>
      </x:c>
      <x:c r="F36" s="9" t="n">
        <x:v>6.335</x:v>
      </x:c>
      <x:c r="G36" s="9" t="n">
        <x:v>29.96455</x:v>
      </x:c>
      <x:c r="H36" s="9"/>
      <x:c r="I36" s="3"/>
      <x:c r="J36" s="3" t="str">
        <x:v>gross only; actual fees not recorded</x:v>
      </x:c>
      <x:c r="K36" s="3" t="str">
        <x:v>strategy buy signal</x:v>
      </x:c>
      <x:c r="L36" s="3" t="str">
        <x:v>production</x:v>
      </x:c>
      <x:c r="M36" s="10" t="n">
        <x:v>654</x:v>
      </x:c>
      <x:c r="N36" s="3" t="str">
        <x:v>USDT</x:v>
      </x:c>
      <x:c r="O36" s="9" t="n">
        <x:v>1789249799999</x:v>
      </x:c>
      <x:c r="P36" s="4" t="b">
        <x:v>0</x:v>
      </x:c>
      <x:c r="Q36" s="4" t="b">
        <x:v>1</x:v>
      </x:c>
      <x:c r="R36" s="4" t="b">
        <x:v>1</x:v>
      </x:c>
      <x:c r="S36" s="4" t="b">
        <x:v>1</x:v>
      </x:c>
      <x:c r="T36" s="4" t="b">
        <x:v>1</x:v>
      </x:c>
      <x:c r="U36" s="4" t="b">
        <x:v>1</x:v>
      </x:c>
      <x:c r="V36" s="10" t="n">
        <x:v>1789249967</x:v>
      </x:c>
      <x:c r="W36" s="3" t="str">
        <x:v>{"side": "BUY", "symbol": "UNIUSDT", "order_id": 5334482418, "quantity": "4.73000000", "price": "6.335", "quote_amount": "29.96455000", "quote_asset": "USDT", "signal_candle_close_time": 1789249799999, "reason": "strategy buy signal", "entry_conditions": {"rsi_recovered": false, "near_support": true, "trend_ok": true, "reward_ok": true, "stop_risk_ok": true, "momentum_ok": true}, "environment": "production", "recorded_at": 1789249967}</x:v>
      </x:c>
      <x:c r="X36" s="10" t="n">
        <x:v>0</x:v>
      </x:c>
      <x:c r="Y36" s="8" t="n">
        <x:v>46277.91165509259</x:v>
      </x:c>
      <x:c r="Z36" s="3" t="str">
        <x:v>2026-09-13</x:v>
      </x:c>
      <x:c r="AA36" s="3" t="str">
        <x:v>ACTIVE / MIXED</x:v>
      </x:c>
      <x:c r="AB36" s="8" t="n">
        <x:v>46278.03402777778</x:v>
      </x:c>
      <x:c r="AC36" s="10" t="n">
        <x:v>227</x:v>
      </x:c>
      <x:c r="AD36" s="3" t="str">
        <x:v>rsi_recovered</x:v>
      </x:c>
      <x:c r="AE36" s="3"/>
      <x:c r="AF36" s="9"/>
      <x:c r="AG36" s="3"/>
      <x:c r="AH36" s="9"/>
      <x:c r="AI36" s="9"/>
      <x:c r="AJ36" s="3"/>
      <x:c r="AK36" s="9"/>
      <x:c r="AL36" s="3"/>
      <x:c r="AM36" s="3"/>
    </x:row>
    <x:row r="37" ht="21" customHeight="1">
      <x:c r="A37" s="8" t="n">
        <x:v>46278.04681712963</x:v>
      </x:c>
      <x:c r="B37" s="3" t="str">
        <x:v>UNIUSDT</x:v>
      </x:c>
      <x:c r="C37" s="3" t="str">
        <x:v>SELL</x:v>
      </x:c>
      <x:c r="D37" s="3" t="str">
        <x:v>5334493677</x:v>
      </x:c>
      <x:c r="E37" s="9" t="n">
        <x:v>4.73</x:v>
      </x:c>
      <x:c r="F37" s="9" t="n">
        <x:v>6.353</x:v>
      </x:c>
      <x:c r="G37" s="9" t="n">
        <x:v>30.04969</x:v>
      </x:c>
      <x:c r="H37" s="9" t="n">
        <x:v>0.08514</x:v>
      </x:c>
      <x:c r="I37" s="3"/>
      <x:c r="J37" s="3" t="str">
        <x:v>gross only; actual fees not recorded</x:v>
      </x:c>
      <x:c r="K37" s="3" t="str">
        <x:v>dashboard manual sell</x:v>
      </x:c>
      <x:c r="L37" s="3" t="str">
        <x:v>production</x:v>
      </x:c>
      <x:c r="M37" s="10" t="n">
        <x:v>655</x:v>
      </x:c>
      <x:c r="N37" s="3" t="str">
        <x:v>USDT</x:v>
      </x:c>
      <x:c r="O37" s="9"/>
      <x:c r="P37" s="3"/>
      <x:c r="Q37" s="3"/>
      <x:c r="R37" s="3"/>
      <x:c r="S37" s="3"/>
      <x:c r="T37" s="3"/>
      <x:c r="U37" s="3"/>
      <x:c r="V37" s="10" t="n">
        <x:v>1789250845</x:v>
      </x:c>
      <x:c r="W37" s="3" t="str">
        <x:v>{"side": "SELL", "symbol": "UNIUSDT", "order_id": 5334493677, "quantity": "4.73000000", "price": "6.353", "quote_amount": "30.04969000", "quote_asset": "USDT", "reason": "dashboard manual sell", "estimated_pnl_usdt": "0.08514000000", "environment": "production", "recorded_at": 1789250845}</x:v>
      </x:c>
      <x:c r="X37" s="10" t="n">
        <x:v>0</x:v>
      </x:c>
      <x:c r="Y37" s="8" t="n">
        <x:v>46277.92181712963</x:v>
      </x:c>
      <x:c r="Z37" s="3" t="str">
        <x:v>2026-09-13</x:v>
      </x:c>
      <x:c r="AA37" s="3" t="str">
        <x:v>ACTIVE / MIXED</x:v>
      </x:c>
      <x:c r="AB37" s="8" t="n">
        <x:v>46278.04481481481</x:v>
      </x:c>
      <x:c r="AC37" s="10" t="n">
        <x:v>173</x:v>
      </x:c>
      <x:c r="AD37" s="3"/>
      <x:c r="AE37" s="3"/>
      <x:c r="AF37" s="9"/>
      <x:c r="AG37" s="3"/>
      <x:c r="AH37" s="9"/>
      <x:c r="AI37" s="9"/>
      <x:c r="AJ37" s="3"/>
      <x:c r="AK37" s="9"/>
      <x:c r="AL37" s="3"/>
      <x:c r="AM37" s="3"/>
    </x:row>
    <x:row r="38" ht="21" customHeight="1">
      <x:c r="A38" s="8" t="n">
        <x:v>46278.047164351854</x:v>
      </x:c>
      <x:c r="B38" s="3" t="str">
        <x:v>THEUSDT</x:v>
      </x:c>
      <x:c r="C38" s="3" t="str">
        <x:v>BUY</x:v>
      </x:c>
      <x:c r="D38" s="3" t="str">
        <x:v>838573141</x:v>
      </x:c>
      <x:c r="E38" s="9" t="n">
        <x:v>444.4</x:v>
      </x:c>
      <x:c r="F38" s="9" t="n">
        <x:v>0.0675</x:v>
      </x:c>
      <x:c r="G38" s="9" t="n">
        <x:v>29.997</x:v>
      </x:c>
      <x:c r="H38" s="9"/>
      <x:c r="I38" s="3"/>
      <x:c r="J38" s="3" t="str">
        <x:v>gross only; actual fees not recorded</x:v>
      </x:c>
      <x:c r="K38" s="3" t="str">
        <x:v>strategy buy signal</x:v>
      </x:c>
      <x:c r="L38" s="3" t="str">
        <x:v>production</x:v>
      </x:c>
      <x:c r="M38" s="10" t="n">
        <x:v>656</x:v>
      </x:c>
      <x:c r="N38" s="3" t="str">
        <x:v>USDT</x:v>
      </x:c>
      <x:c r="O38" s="9" t="n">
        <x:v>1789250699999</x:v>
      </x:c>
      <x:c r="P38" s="4" t="b">
        <x:v>1</x:v>
      </x:c>
      <x:c r="Q38" s="4" t="b">
        <x:v>0</x:v>
      </x:c>
      <x:c r="R38" s="4" t="b">
        <x:v>1</x:v>
      </x:c>
      <x:c r="S38" s="4" t="b">
        <x:v>1</x:v>
      </x:c>
      <x:c r="T38" s="4" t="b">
        <x:v>1</x:v>
      </x:c>
      <x:c r="U38" s="4" t="b">
        <x:v>1</x:v>
      </x:c>
      <x:c r="V38" s="10" t="n">
        <x:v>1789250875</x:v>
      </x:c>
      <x:c r="W38" s="3" t="str">
        <x:v>{"side": "BUY", "symbol": "THEUSDT", "order_id": 838573141, "quantity": "444.40000000", "price": "0.0675", "quote_amount": "29.99700000", "quote_asset": "USDT", "signal_candle_close_time": 1789250699999, "reason": "strategy buy signal", "entry_conditions": {"rsi_recovered": true, "near_support": false, "trend_ok": true, "reward_ok": true, "stop_risk_ok": true, "momentum_ok": true}, "environment": "production", "recorded_at": 1789250875}</x:v>
      </x:c>
      <x:c r="X38" s="10" t="n">
        <x:v>0</x:v>
      </x:c>
      <x:c r="Y38" s="8" t="n">
        <x:v>46277.922164351854</x:v>
      </x:c>
      <x:c r="Z38" s="3" t="str">
        <x:v>2026-09-13</x:v>
      </x:c>
      <x:c r="AA38" s="3" t="str">
        <x:v>ACTIVE / MIXED</x:v>
      </x:c>
      <x:c r="AB38" s="8" t="n">
        <x:v>46278.04481481481</x:v>
      </x:c>
      <x:c r="AC38" s="10" t="n">
        <x:v>203</x:v>
      </x:c>
      <x:c r="AD38" s="3" t="str">
        <x:v>near_support</x:v>
      </x:c>
      <x:c r="AE38" s="3"/>
      <x:c r="AF38" s="9"/>
      <x:c r="AG38" s="3"/>
      <x:c r="AH38" s="9"/>
      <x:c r="AI38" s="9"/>
      <x:c r="AJ38" s="3"/>
      <x:c r="AK38" s="9"/>
      <x:c r="AL38" s="3"/>
      <x:c r="AM38" s="3"/>
    </x:row>
    <x:row r="39" ht="21" customHeight="1">
      <x:c r="A39" s="8" t="n">
        <x:v>46278.05241898148</x:v>
      </x:c>
      <x:c r="B39" s="3" t="str">
        <x:v>THEUSDT</x:v>
      </x:c>
      <x:c r="C39" s="3" t="str">
        <x:v>SELL</x:v>
      </x:c>
      <x:c r="D39" s="3" t="str">
        <x:v>838574747</x:v>
      </x:c>
      <x:c r="E39" s="9" t="n">
        <x:v>444.4</x:v>
      </x:c>
      <x:c r="F39" s="9" t="n">
        <x:v>0.0682</x:v>
      </x:c>
      <x:c r="G39" s="9" t="n">
        <x:v>30.30808</x:v>
      </x:c>
      <x:c r="H39" s="9" t="n">
        <x:v>0.31108</x:v>
      </x:c>
      <x:c r="I39" s="3"/>
      <x:c r="J39" s="3" t="str">
        <x:v>gross only; actual fees not recorded</x:v>
      </x:c>
      <x:c r="K39" s="3" t="str">
        <x:v>RSI sell signal</x:v>
      </x:c>
      <x:c r="L39" s="3" t="str">
        <x:v>production</x:v>
      </x:c>
      <x:c r="M39" s="10" t="n">
        <x:v>657</x:v>
      </x:c>
      <x:c r="N39" s="3" t="str">
        <x:v>USDT</x:v>
      </x:c>
      <x:c r="O39" s="9"/>
      <x:c r="P39" s="3"/>
      <x:c r="Q39" s="3"/>
      <x:c r="R39" s="3"/>
      <x:c r="S39" s="3"/>
      <x:c r="T39" s="3"/>
      <x:c r="U39" s="3"/>
      <x:c r="V39" s="10" t="n">
        <x:v>1789251329</x:v>
      </x:c>
      <x:c r="W39" s="3" t="str">
        <x:v>{"side": "SELL", "symbol": "THEUSDT", "order_id": 838574747, "quantity": "444.40000000", "price": "0.0682", "quote_amount": "30.30808000", "quote_asset": "USDT", "reason": "RSI sell signal", "estimated_pnl_usdt": "0.311080000000", "environment": "production", "recorded_at": 1789251329}</x:v>
      </x:c>
      <x:c r="X39" s="10" t="n">
        <x:v>0</x:v>
      </x:c>
      <x:c r="Y39" s="8" t="n">
        <x:v>46277.92741898148</x:v>
      </x:c>
      <x:c r="Z39" s="3" t="str">
        <x:v>2026-09-13</x:v>
      </x:c>
      <x:c r="AA39" s="3" t="str">
        <x:v>ACTIVE / MIXED</x:v>
      </x:c>
      <x:c r="AB39" s="8" t="n">
        <x:v>46278.04481481481</x:v>
      </x:c>
      <x:c r="AC39" s="10" t="n">
        <x:v>657</x:v>
      </x:c>
      <x:c r="AD39" s="3"/>
      <x:c r="AE39" s="3"/>
      <x:c r="AF39" s="9"/>
      <x:c r="AG39" s="3"/>
      <x:c r="AH39" s="9"/>
      <x:c r="AI39" s="9"/>
      <x:c r="AJ39" s="3"/>
      <x:c r="AK39" s="9"/>
      <x:c r="AL39" s="3"/>
      <x:c r="AM39" s="3"/>
    </x:row>
    <x:row r="40" ht="21" customHeight="1">
      <x:c r="A40" s="8" t="n">
        <x:v>46278.054398148146</x:v>
      </x:c>
      <x:c r="B40" s="3" t="str">
        <x:v>SOLUSDT</x:v>
      </x:c>
      <x:c r="C40" s="3" t="str">
        <x:v>SELL</x:v>
      </x:c>
      <x:c r="D40" s="3" t="str">
        <x:v>17792297986</x:v>
      </x:c>
      <x:c r="E40" s="9" t="n">
        <x:v>0.579</x:v>
      </x:c>
      <x:c r="F40" s="9" t="n">
        <x:v>101.69</x:v>
      </x:c>
      <x:c r="G40" s="9" t="n">
        <x:v>58.87851</x:v>
      </x:c>
      <x:c r="H40" s="9" t="n">
        <x:v>-0.59058</x:v>
      </x:c>
      <x:c r="I40" s="3"/>
      <x:c r="J40" s="3" t="str">
        <x:v>gross only; actual fees not recorded</x:v>
      </x:c>
      <x:c r="K40" s="3" t="str">
        <x:v>dashboard manual sell</x:v>
      </x:c>
      <x:c r="L40" s="3" t="str">
        <x:v>production</x:v>
      </x:c>
      <x:c r="M40" s="10" t="n">
        <x:v>658</x:v>
      </x:c>
      <x:c r="N40" s="3" t="str">
        <x:v>USDT</x:v>
      </x:c>
      <x:c r="O40" s="9"/>
      <x:c r="P40" s="3"/>
      <x:c r="Q40" s="3"/>
      <x:c r="R40" s="3"/>
      <x:c r="S40" s="3"/>
      <x:c r="T40" s="3"/>
      <x:c r="U40" s="3"/>
      <x:c r="V40" s="10" t="n">
        <x:v>1789251500</x:v>
      </x:c>
      <x:c r="W40" s="3" t="str">
        <x:v>{"side": "SELL", "symbol": "SOLUSDT", "order_id": 17792297986, "quantity": "0.57900000", "price": "101.69", "quote_amount": "58.87851000", "quote_asset": "USDT", "reason": "dashboard manual sell", "estimated_pnl_usdt": "-0.5905800000", "environment": "production", "recorded_at": 1789251500}</x:v>
      </x:c>
      <x:c r="X40" s="10" t="n">
        <x:v>0</x:v>
      </x:c>
      <x:c r="Y40" s="8" t="n">
        <x:v>46277.929398148146</x:v>
      </x:c>
      <x:c r="Z40" s="3" t="str">
        <x:v>2026-09-13</x:v>
      </x:c>
      <x:c r="AA40" s="3" t="str">
        <x:v>ACTIVE / MIXED</x:v>
      </x:c>
      <x:c r="AB40" s="8" t="n">
        <x:v>46278.04481481481</x:v>
      </x:c>
      <x:c r="AC40" s="10" t="n">
        <x:v>828</x:v>
      </x:c>
      <x:c r="AD40" s="3"/>
      <x:c r="AE40" s="3"/>
      <x:c r="AF40" s="9"/>
      <x:c r="AG40" s="3"/>
      <x:c r="AH40" s="9"/>
      <x:c r="AI40" s="9"/>
      <x:c r="AJ40" s="3"/>
      <x:c r="AK40" s="9"/>
      <x:c r="AL40" s="3"/>
      <x:c r="AM40" s="3"/>
    </x:row>
    <x:row r="41" ht="21" customHeight="1">
      <x:c r="A41" s="8" t="n">
        <x:v>46278.05550925926</x:v>
      </x:c>
      <x:c r="B41" s="3" t="str">
        <x:v>HOLOUSDT</x:v>
      </x:c>
      <x:c r="C41" s="3" t="str">
        <x:v>BUY</x:v>
      </x:c>
      <x:c r="D41" s="3" t="str">
        <x:v>168134471</x:v>
      </x:c>
      <x:c r="E41" s="9" t="n">
        <x:v>476.9</x:v>
      </x:c>
      <x:c r="F41" s="9" t="n">
        <x:v>0.0629</x:v>
      </x:c>
      <x:c r="G41" s="9" t="n">
        <x:v>29.99701</x:v>
      </x:c>
      <x:c r="H41" s="9"/>
      <x:c r="I41" s="3"/>
      <x:c r="J41" s="3" t="str">
        <x:v>gross only; actual fees not recorded</x:v>
      </x:c>
      <x:c r="K41" s="3" t="str">
        <x:v>strategy buy signal</x:v>
      </x:c>
      <x:c r="L41" s="3" t="str">
        <x:v>production</x:v>
      </x:c>
      <x:c r="M41" s="10" t="n">
        <x:v>659</x:v>
      </x:c>
      <x:c r="N41" s="3" t="str">
        <x:v>USDT</x:v>
      </x:c>
      <x:c r="O41" s="9" t="n">
        <x:v>1789251299999</x:v>
      </x:c>
      <x:c r="P41" s="4" t="b">
        <x:v>0</x:v>
      </x:c>
      <x:c r="Q41" s="4" t="b">
        <x:v>1</x:v>
      </x:c>
      <x:c r="R41" s="4" t="b">
        <x:v>1</x:v>
      </x:c>
      <x:c r="S41" s="4" t="b">
        <x:v>1</x:v>
      </x:c>
      <x:c r="T41" s="4" t="b">
        <x:v>1</x:v>
      </x:c>
      <x:c r="U41" s="4" t="b">
        <x:v>1</x:v>
      </x:c>
      <x:c r="V41" s="10" t="n">
        <x:v>1789251596</x:v>
      </x:c>
      <x:c r="W41" s="3" t="str">
        <x:v>{"side": "BUY", "symbol": "HOLOUSDT", "order_id": 168134471, "quantity": "476.90000000", "price": "0.0629", "quote_amount": "29.99701000", "quote_asset": "USDT", "signal_candle_close_time": 1789251299999, "reason": "strategy buy signal", "entry_conditions": {"rsi_recovered": false, "near_support": true, "trend_ok": true, "reward_ok": true, "stop_risk_ok": true, "momentum_ok": true}, "environment": "production", "recorded_at": 1789251596}</x:v>
      </x:c>
      <x:c r="X41" s="10" t="n">
        <x:v>0</x:v>
      </x:c>
      <x:c r="Y41" s="8" t="n">
        <x:v>46277.93050925926</x:v>
      </x:c>
      <x:c r="Z41" s="3" t="str">
        <x:v>2026-09-13</x:v>
      </x:c>
      <x:c r="AA41" s="3" t="str">
        <x:v>ACTIVE / MIXED</x:v>
      </x:c>
      <x:c r="AB41" s="8" t="n">
        <x:v>46278.0553125</x:v>
      </x:c>
      <x:c r="AC41" s="10" t="n">
        <x:v>17</x:v>
      </x:c>
      <x:c r="AD41" s="3" t="str">
        <x:v>rsi_recovered</x:v>
      </x:c>
      <x:c r="AE41" s="3"/>
      <x:c r="AF41" s="9"/>
      <x:c r="AG41" s="3"/>
      <x:c r="AH41" s="9"/>
      <x:c r="AI41" s="9"/>
      <x:c r="AJ41" s="3"/>
      <x:c r="AK41" s="9"/>
      <x:c r="AL41" s="3"/>
      <x:c r="AM41" s="3"/>
    </x:row>
    <x:row r="42" ht="21" customHeight="1">
      <x:c r="A42" s="8" t="n">
        <x:v>46278.06012731481</x:v>
      </x:c>
      <x:c r="B42" s="3" t="str">
        <x:v>ADAUSDT</x:v>
      </x:c>
      <x:c r="C42" s="3" t="str">
        <x:v>BUY</x:v>
      </x:c>
      <x:c r="D42" s="3" t="str">
        <x:v>8786104720</x:v>
      </x:c>
      <x:c r="E42" s="9" t="n">
        <x:v>96.4</x:v>
      </x:c>
      <x:c r="F42" s="9" t="n">
        <x:v>0.2073</x:v>
      </x:c>
      <x:c r="G42" s="9" t="n">
        <x:v>19.98372</x:v>
      </x:c>
      <x:c r="H42" s="9"/>
      <x:c r="I42" s="3"/>
      <x:c r="J42" s="3" t="str">
        <x:v>gross only; actual fees not recorded</x:v>
      </x:c>
      <x:c r="K42" s="3" t="str">
        <x:v>dashboard manual buy</x:v>
      </x:c>
      <x:c r="L42" s="3" t="str">
        <x:v>production</x:v>
      </x:c>
      <x:c r="M42" s="10" t="n">
        <x:v>660</x:v>
      </x:c>
      <x:c r="N42" s="3" t="str">
        <x:v>USDT</x:v>
      </x:c>
      <x:c r="O42" s="9" t="n">
        <x:v>1789251899999</x:v>
      </x:c>
      <x:c r="P42" s="4" t="b">
        <x:v>1</x:v>
      </x:c>
      <x:c r="Q42" s="4" t="b">
        <x:v>1</x:v>
      </x:c>
      <x:c r="R42" s="4" t="b">
        <x:v>0</x:v>
      </x:c>
      <x:c r="S42" s="4" t="b">
        <x:v>1</x:v>
      </x:c>
      <x:c r="T42" s="4" t="b">
        <x:v>1</x:v>
      </x:c>
      <x:c r="U42" s="4" t="b">
        <x:v>0</x:v>
      </x:c>
      <x:c r="V42" s="10" t="n">
        <x:v>1789251995</x:v>
      </x:c>
      <x:c r="W42" s="3" t="str">
        <x:v>{"side": "BUY", "symbol": "ADAUSDT", "order_id": 8786104720, "quantity": "96.40000000", "price": "0.2073", "quote_amount": "19.98372000", "quote_asset": "USDT", "signal_candle_close_time": 1789251899999, "reason": "dashboard manual buy", "entry_conditions": {"rsi_recovered": true, "near_support": true, "trend_ok": false, "reward_ok": true, "stop_risk_ok": true, "momentum_ok": false}, "environment": "production", "recorded_at": 1789251995}</x:v>
      </x:c>
      <x:c r="X42" s="10" t="n">
        <x:v>0</x:v>
      </x:c>
      <x:c r="Y42" s="8" t="n">
        <x:v>46277.93512731481</x:v>
      </x:c>
      <x:c r="Z42" s="3" t="str">
        <x:v>2026-09-13</x:v>
      </x:c>
      <x:c r="AA42" s="3" t="str">
        <x:v>ACTIVE / MIXED</x:v>
      </x:c>
      <x:c r="AB42" s="8" t="n">
        <x:v>46278.0553125</x:v>
      </x:c>
      <x:c r="AC42" s="10" t="n">
        <x:v>416</x:v>
      </x:c>
      <x:c r="AD42" s="3" t="str">
        <x:v>trend_ok, momentum_ok</x:v>
      </x:c>
      <x:c r="AE42" s="3"/>
      <x:c r="AF42" s="9"/>
      <x:c r="AG42" s="3"/>
      <x:c r="AH42" s="9"/>
      <x:c r="AI42" s="9"/>
      <x:c r="AJ42" s="3"/>
      <x:c r="AK42" s="9"/>
      <x:c r="AL42" s="3"/>
      <x:c r="AM42" s="3"/>
    </x:row>
    <x:row r="43" ht="21" customHeight="1">
      <x:c r="A43" s="8" t="n">
        <x:v>46278.062581018516</x:v>
      </x:c>
      <x:c r="B43" s="3" t="str">
        <x:v>ETHUSDT</x:v>
      </x:c>
      <x:c r="C43" s="3" t="str">
        <x:v>SELL</x:v>
      </x:c>
      <x:c r="D43" s="3" t="str">
        <x:v>49776562160</x:v>
      </x:c>
      <x:c r="E43" s="9" t="n">
        <x:v>0.0079</x:v>
      </x:c>
      <x:c r="F43" s="9" t="n">
        <x:v>2520.83</x:v>
      </x:c>
      <x:c r="G43" s="9" t="n">
        <x:v>19.914557</x:v>
      </x:c>
      <x:c r="H43" s="9" t="n">
        <x:v>-0.040685</x:v>
      </x:c>
      <x:c r="I43" s="3"/>
      <x:c r="J43" s="3" t="str">
        <x:v>gross only; actual fees not recorded</x:v>
      </x:c>
      <x:c r="K43" s="3" t="str">
        <x:v>stop loss</x:v>
      </x:c>
      <x:c r="L43" s="3" t="str">
        <x:v>production</x:v>
      </x:c>
      <x:c r="M43" s="10" t="n">
        <x:v>661</x:v>
      </x:c>
      <x:c r="N43" s="3" t="str">
        <x:v>USDT</x:v>
      </x:c>
      <x:c r="O43" s="9"/>
      <x:c r="P43" s="3"/>
      <x:c r="Q43" s="3"/>
      <x:c r="R43" s="3"/>
      <x:c r="S43" s="3"/>
      <x:c r="T43" s="3"/>
      <x:c r="U43" s="3"/>
      <x:c r="V43" s="10" t="n">
        <x:v>1789252207</x:v>
      </x:c>
      <x:c r="W43" s="3" t="str">
        <x:v>{"side": "SELL", "symbol": "ETHUSDT", "order_id": 49776562160, "quantity": "0.00790000", "price": "2520.83", "quote_amount": "19.91455700", "quote_asset": "USDT", "reason": "stop loss", "estimated_pnl_usdt": "-0.0406850000", "environment": "production", "recorded_at": 1789252207}</x:v>
      </x:c>
      <x:c r="X43" s="10" t="n">
        <x:v>0</x:v>
      </x:c>
      <x:c r="Y43" s="8" t="n">
        <x:v>46277.937581018516</x:v>
      </x:c>
      <x:c r="Z43" s="3" t="str">
        <x:v>2026-09-13</x:v>
      </x:c>
      <x:c r="AA43" s="3" t="str">
        <x:v>ACTIVE / MIXED</x:v>
      </x:c>
      <x:c r="AB43" s="8" t="n">
        <x:v>46278.0553125</x:v>
      </x:c>
      <x:c r="AC43" s="10" t="n">
        <x:v>628</x:v>
      </x:c>
      <x:c r="AD43" s="3"/>
      <x:c r="AE43" s="3"/>
      <x:c r="AF43" s="9"/>
      <x:c r="AG43" s="3"/>
      <x:c r="AH43" s="9"/>
      <x:c r="AI43" s="9"/>
      <x:c r="AJ43" s="3"/>
      <x:c r="AK43" s="9"/>
      <x:c r="AL43" s="3"/>
      <x:c r="AM43" s="3"/>
    </x:row>
    <x:row r="44" ht="21" customHeight="1">
      <x:c r="A44" s="8" t="n">
        <x:v>46278.062685185185</x:v>
      </x:c>
      <x:c r="B44" s="3" t="str">
        <x:v>LINKUSDT</x:v>
      </x:c>
      <x:c r="C44" s="3" t="str">
        <x:v>SELL</x:v>
      </x:c>
      <x:c r="D44" s="3" t="str">
        <x:v>8008468034</x:v>
      </x:c>
      <x:c r="E44" s="9" t="n">
        <x:v>2.6</x:v>
      </x:c>
      <x:c r="F44" s="9" t="n">
        <x:v>11.486</x:v>
      </x:c>
      <x:c r="G44" s="9" t="n">
        <x:v>29.8636</x:v>
      </x:c>
      <x:c r="H44" s="9" t="n">
        <x:v>-0.104</x:v>
      </x:c>
      <x:c r="I44" s="3"/>
      <x:c r="J44" s="3" t="str">
        <x:v>gross only; actual fees not recorded</x:v>
      </x:c>
      <x:c r="K44" s="3" t="str">
        <x:v>stop loss</x:v>
      </x:c>
      <x:c r="L44" s="3" t="str">
        <x:v>production</x:v>
      </x:c>
      <x:c r="M44" s="10" t="n">
        <x:v>662</x:v>
      </x:c>
      <x:c r="N44" s="3" t="str">
        <x:v>USDT</x:v>
      </x:c>
      <x:c r="O44" s="9"/>
      <x:c r="P44" s="3"/>
      <x:c r="Q44" s="3"/>
      <x:c r="R44" s="3"/>
      <x:c r="S44" s="3"/>
      <x:c r="T44" s="3"/>
      <x:c r="U44" s="3"/>
      <x:c r="V44" s="10" t="n">
        <x:v>1789252216</x:v>
      </x:c>
      <x:c r="W44" s="3" t="str">
        <x:v>{"side": "SELL", "symbol": "LINKUSDT", "order_id": 8008468034, "quantity": "2.60000000", "price": "11.486", "quote_amount": "29.86360000", "quote_asset": "USDT", "reason": "stop loss", "estimated_pnl_usdt": "-0.10400000000", "environment": "production", "recorded_at": 1789252216}</x:v>
      </x:c>
      <x:c r="X44" s="10" t="n">
        <x:v>0</x:v>
      </x:c>
      <x:c r="Y44" s="8" t="n">
        <x:v>46277.937685185185</x:v>
      </x:c>
      <x:c r="Z44" s="3" t="str">
        <x:v>2026-09-13</x:v>
      </x:c>
      <x:c r="AA44" s="3" t="str">
        <x:v>ACTIVE / MIXED</x:v>
      </x:c>
      <x:c r="AB44" s="8" t="n">
        <x:v>46278.0553125</x:v>
      </x:c>
      <x:c r="AC44" s="10" t="n">
        <x:v>637</x:v>
      </x:c>
      <x:c r="AD44" s="3"/>
      <x:c r="AE44" s="3"/>
      <x:c r="AF44" s="9"/>
      <x:c r="AG44" s="3"/>
      <x:c r="AH44" s="9"/>
      <x:c r="AI44" s="9"/>
      <x:c r="AJ44" s="3"/>
      <x:c r="AK44" s="9"/>
      <x:c r="AL44" s="3"/>
      <x:c r="AM44" s="3"/>
    </x:row>
    <x:row r="45" ht="21" customHeight="1">
      <x:c r="A45" s="8" t="n">
        <x:v>46278.066030092596</x:v>
      </x:c>
      <x:c r="B45" s="3" t="str">
        <x:v>ADAUSDT</x:v>
      </x:c>
      <x:c r="C45" s="3" t="str">
        <x:v>SELL</x:v>
      </x:c>
      <x:c r="D45" s="3" t="str">
        <x:v>8786107935</x:v>
      </x:c>
      <x:c r="E45" s="9" t="n">
        <x:v>96.4</x:v>
      </x:c>
      <x:c r="F45" s="9" t="n">
        <x:v>0.2066</x:v>
      </x:c>
      <x:c r="G45" s="9" t="n">
        <x:v>19.91624</x:v>
      </x:c>
      <x:c r="H45" s="9" t="n">
        <x:v>-0.06748</x:v>
      </x:c>
      <x:c r="I45" s="3"/>
      <x:c r="J45" s="3" t="str">
        <x:v>gross only; actual fees not recorded</x:v>
      </x:c>
      <x:c r="K45" s="3" t="str">
        <x:v>stop loss</x:v>
      </x:c>
      <x:c r="L45" s="3" t="str">
        <x:v>production</x:v>
      </x:c>
      <x:c r="M45" s="10" t="n">
        <x:v>663</x:v>
      </x:c>
      <x:c r="N45" s="3" t="str">
        <x:v>USDT</x:v>
      </x:c>
      <x:c r="O45" s="9"/>
      <x:c r="P45" s="3"/>
      <x:c r="Q45" s="3"/>
      <x:c r="R45" s="3"/>
      <x:c r="S45" s="3"/>
      <x:c r="T45" s="3"/>
      <x:c r="U45" s="3"/>
      <x:c r="V45" s="10" t="n">
        <x:v>1789252505</x:v>
      </x:c>
      <x:c r="W45" s="3" t="str">
        <x:v>{"side": "SELL", "symbol": "ADAUSDT", "order_id": 8786107935, "quantity": "96.40000000", "price": "0.2066", "quote_amount": "19.91624000", "quote_asset": "USDT", "reason": "stop loss", "estimated_pnl_usdt": "-0.067480000000", "environment": "production", "recorded_at": 1789252505}</x:v>
      </x:c>
      <x:c r="X45" s="10" t="n">
        <x:v>0</x:v>
      </x:c>
      <x:c r="Y45" s="8" t="n">
        <x:v>46277.941030092596</x:v>
      </x:c>
      <x:c r="Z45" s="3" t="str">
        <x:v>2026-09-13</x:v>
      </x:c>
      <x:c r="AA45" s="3" t="str">
        <x:v>ACTIVE / POSITIVE</x:v>
      </x:c>
      <x:c r="AB45" s="8" t="n">
        <x:v>46278.0658912037</x:v>
      </x:c>
      <x:c r="AC45" s="10" t="n">
        <x:v>12</x:v>
      </x:c>
      <x:c r="AD45" s="3"/>
      <x:c r="AE45" s="3"/>
      <x:c r="AF45" s="9"/>
      <x:c r="AG45" s="3"/>
      <x:c r="AH45" s="9"/>
      <x:c r="AI45" s="9"/>
      <x:c r="AJ45" s="3"/>
      <x:c r="AK45" s="9"/>
      <x:c r="AL45" s="3"/>
      <x:c r="AM45" s="3"/>
    </x:row>
    <x:row r="46" ht="21" customHeight="1">
      <x:c r="A46" s="8" t="n">
        <x:v>46278.069085648145</x:v>
      </x:c>
      <x:c r="B46" s="3" t="str">
        <x:v>UNIUSDT</x:v>
      </x:c>
      <x:c r="C46" s="3" t="str">
        <x:v>BUY</x:v>
      </x:c>
      <x:c r="D46" s="3" t="str">
        <x:v>5334521117</x:v>
      </x:c>
      <x:c r="E46" s="9" t="n">
        <x:v>3.15</x:v>
      </x:c>
      <x:c r="F46" s="9" t="n">
        <x:v>6.344</x:v>
      </x:c>
      <x:c r="G46" s="9" t="n">
        <x:v>19.9836</x:v>
      </x:c>
      <x:c r="H46" s="9"/>
      <x:c r="I46" s="3"/>
      <x:c r="J46" s="3" t="str">
        <x:v>gross only; actual fees not recorded</x:v>
      </x:c>
      <x:c r="K46" s="3" t="str">
        <x:v>dashboard manual buy</x:v>
      </x:c>
      <x:c r="L46" s="3" t="str">
        <x:v>production</x:v>
      </x:c>
      <x:c r="M46" s="10" t="n">
        <x:v>664</x:v>
      </x:c>
      <x:c r="N46" s="3" t="str">
        <x:v>USDT</x:v>
      </x:c>
      <x:c r="O46" s="9" t="n">
        <x:v>1789252499999</x:v>
      </x:c>
      <x:c r="P46" s="4" t="b">
        <x:v>0</x:v>
      </x:c>
      <x:c r="Q46" s="4" t="b">
        <x:v>1</x:v>
      </x:c>
      <x:c r="R46" s="4" t="b">
        <x:v>0</x:v>
      </x:c>
      <x:c r="S46" s="4" t="b">
        <x:v>1</x:v>
      </x:c>
      <x:c r="T46" s="4" t="b">
        <x:v>1</x:v>
      </x:c>
      <x:c r="U46" s="4" t="b">
        <x:v>1</x:v>
      </x:c>
      <x:c r="V46" s="10" t="n">
        <x:v>1789252769</x:v>
      </x:c>
      <x:c r="W46" s="3" t="str">
        <x:v>{"side": "BUY", "symbol": "UNIUSDT", "order_id": 5334521117, "quantity": "3.15000000", "price": "6.344", "quote_amount": "19.98360000", "quote_asset": "USDT", "signal_candle_close_time": 1789252499999, "reason": "dashboard manual buy", "entry_conditions": {"rsi_recovered": false, "near_support": true, "trend_ok": false, "reward_ok": true, "stop_risk_ok": true, "momentum_ok": true}, "environment": "production", "recorded_at": 1789252769}</x:v>
      </x:c>
      <x:c r="X46" s="10" t="n">
        <x:v>0</x:v>
      </x:c>
      <x:c r="Y46" s="8" t="n">
        <x:v>46277.944085648145</x:v>
      </x:c>
      <x:c r="Z46" s="3" t="str">
        <x:v>2026-09-13</x:v>
      </x:c>
      <x:c r="AA46" s="3" t="str">
        <x:v>ACTIVE / POSITIVE</x:v>
      </x:c>
      <x:c r="AB46" s="8" t="n">
        <x:v>46278.0658912037</x:v>
      </x:c>
      <x:c r="AC46" s="10" t="n">
        <x:v>276</x:v>
      </x:c>
      <x:c r="AD46" s="3" t="str">
        <x:v>rsi_recovered, trend_ok</x:v>
      </x:c>
      <x:c r="AE46" s="3"/>
      <x:c r="AF46" s="9"/>
      <x:c r="AG46" s="3"/>
      <x:c r="AH46" s="9"/>
      <x:c r="AI46" s="9"/>
      <x:c r="AJ46" s="3"/>
      <x:c r="AK46" s="9"/>
      <x:c r="AL46" s="3"/>
      <x:c r="AM46" s="3"/>
    </x:row>
    <x:row r="47" ht="21" customHeight="1">
      <x:c r="A47" s="8" t="n">
        <x:v>46278.07079861111</x:v>
      </x:c>
      <x:c r="B47" s="3" t="str">
        <x:v>XRPUSDT</x:v>
      </x:c>
      <x:c r="C47" s="3" t="str">
        <x:v>BUY</x:v>
      </x:c>
      <x:c r="D47" s="3" t="str">
        <x:v>15428908948</x:v>
      </x:c>
      <x:c r="E47" s="9" t="n">
        <x:v>14.6</x:v>
      </x:c>
      <x:c r="F47" s="9" t="n">
        <x:v>1.3628</x:v>
      </x:c>
      <x:c r="G47" s="9" t="n">
        <x:v>19.89688</x:v>
      </x:c>
      <x:c r="H47" s="9"/>
      <x:c r="I47" s="3"/>
      <x:c r="J47" s="3" t="str">
        <x:v>gross only; actual fees not recorded</x:v>
      </x:c>
      <x:c r="K47" s="3" t="str">
        <x:v>dashboard manual buy</x:v>
      </x:c>
      <x:c r="L47" s="3" t="str">
        <x:v>production</x:v>
      </x:c>
      <x:c r="M47" s="10" t="n">
        <x:v>665</x:v>
      </x:c>
      <x:c r="N47" s="3" t="str">
        <x:v>USDT</x:v>
      </x:c>
      <x:c r="O47" s="9" t="n">
        <x:v>1789252799999</x:v>
      </x:c>
      <x:c r="P47" s="4" t="b">
        <x:v>1</x:v>
      </x:c>
      <x:c r="Q47" s="4" t="b">
        <x:v>1</x:v>
      </x:c>
      <x:c r="R47" s="4" t="b">
        <x:v>0</x:v>
      </x:c>
      <x:c r="S47" s="4" t="b">
        <x:v>1</x:v>
      </x:c>
      <x:c r="T47" s="4" t="b">
        <x:v>1</x:v>
      </x:c>
      <x:c r="U47" s="4" t="b">
        <x:v>0</x:v>
      </x:c>
      <x:c r="V47" s="10" t="n">
        <x:v>1789252917</x:v>
      </x:c>
      <x:c r="W47" s="3" t="str">
        <x:v>{"side": "BUY", "symbol": "XRPUSDT", "order_id": 15428908948, "quantity": "14.60000000", "price": "1.3628", "quote_amount": "19.89688000", "quote_asset": "USDT", "signal_candle_close_time": 1789252799999, "reason": "dashboard manual buy", "entry_conditions": {"rsi_recovered": true, "near_support": true, "trend_ok": false, "reward_ok": true, "stop_risk_ok": true, "momentum_ok": false}, "environment": "production", "recorded_at": 1789252917}</x:v>
      </x:c>
      <x:c r="X47" s="10" t="n">
        <x:v>0</x:v>
      </x:c>
      <x:c r="Y47" s="8" t="n">
        <x:v>46277.94579861111</x:v>
      </x:c>
      <x:c r="Z47" s="3" t="str">
        <x:v>2026-09-13</x:v>
      </x:c>
      <x:c r="AA47" s="3" t="str">
        <x:v>ACTIVE / POSITIVE</x:v>
      </x:c>
      <x:c r="AB47" s="8" t="n">
        <x:v>46278.0658912037</x:v>
      </x:c>
      <x:c r="AC47" s="10" t="n">
        <x:v>424</x:v>
      </x:c>
      <x:c r="AD47" s="3" t="str">
        <x:v>trend_ok, momentum_ok</x:v>
      </x:c>
      <x:c r="AE47" s="3"/>
      <x:c r="AF47" s="9"/>
      <x:c r="AG47" s="3"/>
      <x:c r="AH47" s="9"/>
      <x:c r="AI47" s="9"/>
      <x:c r="AJ47" s="3"/>
      <x:c r="AK47" s="9"/>
      <x:c r="AL47" s="3"/>
      <x:c r="AM47" s="3"/>
    </x:row>
    <x:row r="48" ht="21" customHeight="1">
      <x:c r="A48" s="8" t="n">
        <x:v>46278.070810185185</x:v>
      </x:c>
      <x:c r="B48" s="3" t="str">
        <x:v>XRPUSDT</x:v>
      </x:c>
      <x:c r="C48" s="3" t="str">
        <x:v>BUY</x:v>
      </x:c>
      <x:c r="D48" s="3" t="str">
        <x:v>15428908960</x:v>
      </x:c>
      <x:c r="E48" s="9" t="n">
        <x:v>14.6</x:v>
      </x:c>
      <x:c r="F48" s="9" t="n">
        <x:v>1.3628</x:v>
      </x:c>
      <x:c r="G48" s="9" t="n">
        <x:v>19.89688</x:v>
      </x:c>
      <x:c r="H48" s="9"/>
      <x:c r="I48" s="3"/>
      <x:c r="J48" s="3" t="str">
        <x:v>gross only; actual fees not recorded</x:v>
      </x:c>
      <x:c r="K48" s="3" t="str">
        <x:v>dashboard manual buy more</x:v>
      </x:c>
      <x:c r="L48" s="3" t="str">
        <x:v>production</x:v>
      </x:c>
      <x:c r="M48" s="10" t="n">
        <x:v>666</x:v>
      </x:c>
      <x:c r="N48" s="3" t="str">
        <x:v>USDT</x:v>
      </x:c>
      <x:c r="O48" s="9" t="n">
        <x:v>1789252799999</x:v>
      </x:c>
      <x:c r="P48" s="4" t="b">
        <x:v>1</x:v>
      </x:c>
      <x:c r="Q48" s="4" t="b">
        <x:v>1</x:v>
      </x:c>
      <x:c r="R48" s="4" t="b">
        <x:v>0</x:v>
      </x:c>
      <x:c r="S48" s="4" t="b">
        <x:v>1</x:v>
      </x:c>
      <x:c r="T48" s="4" t="b">
        <x:v>1</x:v>
      </x:c>
      <x:c r="U48" s="4" t="b">
        <x:v>0</x:v>
      </x:c>
      <x:c r="V48" s="10" t="n">
        <x:v>1789252918</x:v>
      </x:c>
      <x:c r="W48" s="3" t="str">
        <x:v>{"side": "BUY", "symbol": "XRPUSDT", "order_id": 15428908960, "quantity": "14.60000000", "price": "1.3628", "quote_amount": "19.89688000", "quote_asset": "USDT", "signal_candle_close_time": 1789252799999, "reason": "dashboard manual buy more", "entry_conditions": {"rsi_recovered": true, "near_support": true, "trend_ok": false, "reward_ok": true, "stop_risk_ok": true, "momentum_ok": false}, "environment": "production", "recorded_at": 1789252918}</x:v>
      </x:c>
      <x:c r="X48" s="10" t="n">
        <x:v>0</x:v>
      </x:c>
      <x:c r="Y48" s="8" t="n">
        <x:v>46277.945810185185</x:v>
      </x:c>
      <x:c r="Z48" s="3" t="str">
        <x:v>2026-09-13</x:v>
      </x:c>
      <x:c r="AA48" s="3" t="str">
        <x:v>ACTIVE / POSITIVE</x:v>
      </x:c>
      <x:c r="AB48" s="8" t="n">
        <x:v>46278.0658912037</x:v>
      </x:c>
      <x:c r="AC48" s="10" t="n">
        <x:v>425</x:v>
      </x:c>
      <x:c r="AD48" s="3" t="str">
        <x:v>trend_ok, momentum_ok</x:v>
      </x:c>
      <x:c r="AE48" s="3"/>
      <x:c r="AF48" s="9"/>
      <x:c r="AG48" s="3"/>
      <x:c r="AH48" s="9"/>
      <x:c r="AI48" s="9"/>
      <x:c r="AJ48" s="3"/>
      <x:c r="AK48" s="9"/>
      <x:c r="AL48" s="3"/>
      <x:c r="AM48" s="3"/>
    </x:row>
    <x:row r="49" ht="21" customHeight="1">
      <x:c r="A49" s="8" t="n">
        <x:v>46278.08023148148</x:v>
      </x:c>
      <x:c r="B49" s="3" t="str">
        <x:v>RAYUSDT</x:v>
      </x:c>
      <x:c r="C49" s="3" t="str">
        <x:v>BUY</x:v>
      </x:c>
      <x:c r="D49" s="3" t="str">
        <x:v>1381245018</x:v>
      </x:c>
      <x:c r="E49" s="9" t="n">
        <x:v>19.7</x:v>
      </x:c>
      <x:c r="F49" s="9" t="n">
        <x:v>1.5228</x:v>
      </x:c>
      <x:c r="G49" s="9" t="n">
        <x:v>29.99916</x:v>
      </x:c>
      <x:c r="H49" s="9"/>
      <x:c r="I49" s="3"/>
      <x:c r="J49" s="3" t="str">
        <x:v>gross only; actual fees not recorded</x:v>
      </x:c>
      <x:c r="K49" s="3" t="str">
        <x:v>strategy buy signal</x:v>
      </x:c>
      <x:c r="L49" s="3" t="str">
        <x:v>production</x:v>
      </x:c>
      <x:c r="M49" s="10" t="n">
        <x:v>667</x:v>
      </x:c>
      <x:c r="N49" s="3" t="str">
        <x:v>USDT</x:v>
      </x:c>
      <x:c r="O49" s="9" t="n">
        <x:v>1789253699999</x:v>
      </x:c>
      <x:c r="P49" s="4" t="b">
        <x:v>0</x:v>
      </x:c>
      <x:c r="Q49" s="4" t="b">
        <x:v>1</x:v>
      </x:c>
      <x:c r="R49" s="4" t="b">
        <x:v>1</x:v>
      </x:c>
      <x:c r="S49" s="4" t="b">
        <x:v>1</x:v>
      </x:c>
      <x:c r="T49" s="4" t="b">
        <x:v>1</x:v>
      </x:c>
      <x:c r="U49" s="4" t="b">
        <x:v>1</x:v>
      </x:c>
      <x:c r="V49" s="10" t="n">
        <x:v>1789253732</x:v>
      </x:c>
      <x:c r="W49" s="3" t="str">
        <x:v>{"side": "BUY", "symbol": "RAYUSDT", "order_id": 1381245018, "quantity": "19.70000000", "price": "1.5228", "quote_amount": "29.99916000", "quote_asset": "USDT", "signal_candle_close_time": 1789253699999, "reason": "strategy buy signal", "entry_conditions": {"rsi_recovered": false, "near_support": true, "trend_ok": true, "reward_ok": true, "stop_risk_ok": true, "momentum_ok": true}, "environment": "production", "recorded_at": 1789253732}</x:v>
      </x:c>
      <x:c r="X49" s="10" t="n">
        <x:v>0</x:v>
      </x:c>
      <x:c r="Y49" s="8" t="n">
        <x:v>46277.95523148148</x:v>
      </x:c>
      <x:c r="Z49" s="3" t="str">
        <x:v>2026-09-13</x:v>
      </x:c>
      <x:c r="AA49" s="3" t="str">
        <x:v>ACTIVE / POSITIVE</x:v>
      </x:c>
      <x:c r="AB49" s="8" t="n">
        <x:v>46278.07642361111</x:v>
      </x:c>
      <x:c r="AC49" s="10" t="n">
        <x:v>329</x:v>
      </x:c>
      <x:c r="AD49" s="3" t="str">
        <x:v>rsi_recovered</x:v>
      </x:c>
      <x:c r="AE49" s="3"/>
      <x:c r="AF49" s="9"/>
      <x:c r="AG49" s="3"/>
      <x:c r="AH49" s="9"/>
      <x:c r="AI49" s="9"/>
      <x:c r="AJ49" s="3"/>
      <x:c r="AK49" s="9"/>
      <x:c r="AL49" s="3"/>
      <x:c r="AM49" s="3"/>
    </x:row>
    <x:row r="50" ht="21" customHeight="1">
      <x:c r="A50" s="8" t="n">
        <x:v>46278.08708333333</x:v>
      </x:c>
      <x:c r="B50" s="3" t="str">
        <x:v>HOLOUSDT</x:v>
      </x:c>
      <x:c r="C50" s="3" t="str">
        <x:v>SELL</x:v>
      </x:c>
      <x:c r="D50" s="3" t="str">
        <x:v>168141298</x:v>
      </x:c>
      <x:c r="E50" s="9" t="n">
        <x:v>476.9</x:v>
      </x:c>
      <x:c r="F50" s="9" t="n">
        <x:v>0.0622</x:v>
      </x:c>
      <x:c r="G50" s="9" t="n">
        <x:v>29.66318</x:v>
      </x:c>
      <x:c r="H50" s="9" t="n">
        <x:v>-0.33383</x:v>
      </x:c>
      <x:c r="I50" s="3"/>
      <x:c r="J50" s="3" t="str">
        <x:v>gross only; actual fees not recorded</x:v>
      </x:c>
      <x:c r="K50" s="3" t="str">
        <x:v>stop loss</x:v>
      </x:c>
      <x:c r="L50" s="3" t="str">
        <x:v>production</x:v>
      </x:c>
      <x:c r="M50" s="10" t="n">
        <x:v>668</x:v>
      </x:c>
      <x:c r="N50" s="3" t="str">
        <x:v>USDT</x:v>
      </x:c>
      <x:c r="O50" s="9"/>
      <x:c r="P50" s="3"/>
      <x:c r="Q50" s="3"/>
      <x:c r="R50" s="3"/>
      <x:c r="S50" s="3"/>
      <x:c r="T50" s="3"/>
      <x:c r="U50" s="3"/>
      <x:c r="V50" s="10" t="n">
        <x:v>1789254324</x:v>
      </x:c>
      <x:c r="W50" s="3" t="str">
        <x:v>{"side": "SELL", "symbol": "HOLOUSDT", "order_id": 168141298, "quantity": "476.90000000", "price": "0.0622", "quote_amount": "29.66318000", "quote_asset": "USDT", "reason": "stop loss", "estimated_pnl_usdt": "-0.333830000000", "environment": "production", "recorded_at": 1789254324}</x:v>
      </x:c>
      <x:c r="X50" s="10" t="n">
        <x:v>0</x:v>
      </x:c>
      <x:c r="Y50" s="8" t="n">
        <x:v>46277.96208333333</x:v>
      </x:c>
      <x:c r="Z50" s="3" t="str">
        <x:v>2026-09-13</x:v>
      </x:c>
      <x:c r="AA50" s="3" t="str">
        <x:v>ACTIVE / MIXED</x:v>
      </x:c>
      <x:c r="AB50" s="8" t="n">
        <x:v>46278.08695601852</x:v>
      </x:c>
      <x:c r="AC50" s="10" t="n">
        <x:v>11</x:v>
      </x:c>
      <x:c r="AD50" s="3"/>
      <x:c r="AE50" s="3"/>
      <x:c r="AF50" s="9"/>
      <x:c r="AG50" s="3"/>
      <x:c r="AH50" s="9"/>
      <x:c r="AI50" s="9"/>
      <x:c r="AJ50" s="3"/>
      <x:c r="AK50" s="9"/>
      <x:c r="AL50" s="3"/>
      <x:c r="AM50" s="3"/>
    </x:row>
    <x:row r="51" ht="21" customHeight="1">
      <x:c r="A51" s="8" t="n">
        <x:v>46278.08736111111</x:v>
      </x:c>
      <x:c r="B51" s="3" t="str">
        <x:v>ZECUSDT</x:v>
      </x:c>
      <x:c r="C51" s="3" t="str">
        <x:v>BUY</x:v>
      </x:c>
      <x:c r="D51" s="3" t="str">
        <x:v>6086337595</x:v>
      </x:c>
      <x:c r="E51" s="9" t="n">
        <x:v>0.026</x:v>
      </x:c>
      <x:c r="F51" s="9" t="n">
        <x:v>1124.69</x:v>
      </x:c>
      <x:c r="G51" s="9" t="n">
        <x:v>29.24194</x:v>
      </x:c>
      <x:c r="H51" s="9"/>
      <x:c r="I51" s="3"/>
      <x:c r="J51" s="3" t="str">
        <x:v>gross only; actual fees not recorded</x:v>
      </x:c>
      <x:c r="K51" s="3" t="str">
        <x:v>strategy buy signal</x:v>
      </x:c>
      <x:c r="L51" s="3" t="str">
        <x:v>production</x:v>
      </x:c>
      <x:c r="M51" s="10" t="n">
        <x:v>669</x:v>
      </x:c>
      <x:c r="N51" s="3" t="str">
        <x:v>USDT</x:v>
      </x:c>
      <x:c r="O51" s="9" t="n">
        <x:v>1789254299999</x:v>
      </x:c>
      <x:c r="P51" s="4" t="b">
        <x:v>0</x:v>
      </x:c>
      <x:c r="Q51" s="4" t="b">
        <x:v>1</x:v>
      </x:c>
      <x:c r="R51" s="4" t="b">
        <x:v>1</x:v>
      </x:c>
      <x:c r="S51" s="4" t="b">
        <x:v>1</x:v>
      </x:c>
      <x:c r="T51" s="4" t="b">
        <x:v>1</x:v>
      </x:c>
      <x:c r="U51" s="4" t="b">
        <x:v>1</x:v>
      </x:c>
      <x:c r="V51" s="10" t="n">
        <x:v>1789254348</x:v>
      </x:c>
      <x:c r="W51" s="3" t="str">
        <x:v>{"side": "BUY", "symbol": "ZECUSDT", "order_id": 6086337595, "quantity": "0.02600000", "price": "1124.69", "quote_amount": "29.24194000", "quote_asset": "USDT", "signal_candle_close_time": 1789254299999, "reason": "strategy buy signal", "entry_conditions": {"rsi_recovered": false, "near_support": true, "trend_ok": true, "reward_ok": true, "stop_risk_ok": true, "momentum_ok": true}, "environment": "production", "recorded_at": 1789254348}</x:v>
      </x:c>
      <x:c r="X51" s="10" t="n">
        <x:v>0</x:v>
      </x:c>
      <x:c r="Y51" s="8" t="n">
        <x:v>46277.96236111111</x:v>
      </x:c>
      <x:c r="Z51" s="3" t="str">
        <x:v>2026-09-13</x:v>
      </x:c>
      <x:c r="AA51" s="3" t="str">
        <x:v>ACTIVE / MIXED</x:v>
      </x:c>
      <x:c r="AB51" s="8" t="n">
        <x:v>46278.08695601852</x:v>
      </x:c>
      <x:c r="AC51" s="10" t="n">
        <x:v>35</x:v>
      </x:c>
      <x:c r="AD51" s="3" t="str">
        <x:v>rsi_recovered</x:v>
      </x:c>
      <x:c r="AE51" s="3"/>
      <x:c r="AF51" s="9"/>
      <x:c r="AG51" s="3"/>
      <x:c r="AH51" s="9"/>
      <x:c r="AI51" s="9"/>
      <x:c r="AJ51" s="3"/>
      <x:c r="AK51" s="9"/>
      <x:c r="AL51" s="3"/>
      <x:c r="AM51" s="3"/>
    </x:row>
    <x:row r="52" ht="21" customHeight="1">
      <x:c r="A52" s="8" t="n">
        <x:v>46278.094930555555</x:v>
      </x:c>
      <x:c r="B52" s="3" t="str">
        <x:v>RAYUSDT</x:v>
      </x:c>
      <x:c r="C52" s="3" t="str">
        <x:v>SELL</x:v>
      </x:c>
      <x:c r="D52" s="3" t="str">
        <x:v>1381271913</x:v>
      </x:c>
      <x:c r="E52" s="9" t="n">
        <x:v>19.7</x:v>
      </x:c>
      <x:c r="F52" s="9" t="n">
        <x:v>1.5394</x:v>
      </x:c>
      <x:c r="G52" s="9" t="n">
        <x:v>30.32618</x:v>
      </x:c>
      <x:c r="H52" s="9" t="n">
        <x:v>0.32702</x:v>
      </x:c>
      <x:c r="I52" s="3"/>
      <x:c r="J52" s="3" t="str">
        <x:v>gross only; actual fees not recorded</x:v>
      </x:c>
      <x:c r="K52" s="3" t="str">
        <x:v>take profit</x:v>
      </x:c>
      <x:c r="L52" s="3" t="str">
        <x:v>production</x:v>
      </x:c>
      <x:c r="M52" s="10" t="n">
        <x:v>670</x:v>
      </x:c>
      <x:c r="N52" s="3" t="str">
        <x:v>USDT</x:v>
      </x:c>
      <x:c r="O52" s="9"/>
      <x:c r="P52" s="3"/>
      <x:c r="Q52" s="3"/>
      <x:c r="R52" s="3"/>
      <x:c r="S52" s="3"/>
      <x:c r="T52" s="3"/>
      <x:c r="U52" s="3"/>
      <x:c r="V52" s="10" t="n">
        <x:v>1789255002</x:v>
      </x:c>
      <x:c r="W52" s="3" t="str">
        <x:v>{"side": "SELL", "symbol": "RAYUSDT", "order_id": 1381271913, "quantity": "19.70000000", "price": "1.5394", "quote_amount": "30.32618000", "quote_asset": "USDT", "reason": "take profit", "estimated_pnl_usdt": "0.327020000000", "environment": "production", "recorded_at": 1789255002}</x:v>
      </x:c>
      <x:c r="X52" s="10" t="n">
        <x:v>0</x:v>
      </x:c>
      <x:c r="Y52" s="8" t="n">
        <x:v>46277.969930555555</x:v>
      </x:c>
      <x:c r="Z52" s="3" t="str">
        <x:v>2026-09-13</x:v>
      </x:c>
      <x:c r="AA52" s="3" t="str">
        <x:v>ACTIVE / MIXED</x:v>
      </x:c>
      <x:c r="AB52" s="8" t="n">
        <x:v>46278.08695601852</x:v>
      </x:c>
      <x:c r="AC52" s="10" t="n">
        <x:v>689</x:v>
      </x:c>
      <x:c r="AD52" s="3"/>
      <x:c r="AE52" s="3"/>
      <x:c r="AF52" s="9"/>
      <x:c r="AG52" s="3"/>
      <x:c r="AH52" s="9"/>
      <x:c r="AI52" s="9"/>
      <x:c r="AJ52" s="3"/>
      <x:c r="AK52" s="9"/>
      <x:c r="AL52" s="3"/>
      <x:c r="AM52" s="3"/>
    </x:row>
    <x:row r="53" ht="21" customHeight="1">
      <x:c r="A53" s="8" t="n">
        <x:v>46278.09578703704</x:v>
      </x:c>
      <x:c r="B53" s="3" t="str">
        <x:v>PEPEUSDT</x:v>
      </x:c>
      <x:c r="C53" s="3" t="str">
        <x:v>SELL</x:v>
      </x:c>
      <x:c r="D53" s="3" t="str">
        <x:v>5415367140</x:v>
      </x:c>
      <x:c r="E53" s="9" t="n">
        <x:v>5842105</x:v>
      </x:c>
      <x:c r="F53" s="9" t="n">
        <x:v>0.00000342</x:v>
      </x:c>
      <x:c r="G53" s="9" t="n">
        <x:v>19.9799991</x:v>
      </x:c>
      <x:c r="H53" s="9" t="n">
        <x:v>0</x:v>
      </x:c>
      <x:c r="I53" s="3"/>
      <x:c r="J53" s="3" t="str">
        <x:v>gross only; actual fees not recorded</x:v>
      </x:c>
      <x:c r="K53" s="3" t="str">
        <x:v>dashboard manual sell</x:v>
      </x:c>
      <x:c r="L53" s="3" t="str">
        <x:v>production</x:v>
      </x:c>
      <x:c r="M53" s="10" t="n">
        <x:v>671</x:v>
      </x:c>
      <x:c r="N53" s="3" t="str">
        <x:v>USDT</x:v>
      </x:c>
      <x:c r="O53" s="9"/>
      <x:c r="P53" s="3"/>
      <x:c r="Q53" s="3"/>
      <x:c r="R53" s="3"/>
      <x:c r="S53" s="3"/>
      <x:c r="T53" s="3"/>
      <x:c r="U53" s="3"/>
      <x:c r="V53" s="10" t="n">
        <x:v>1789255076</x:v>
      </x:c>
      <x:c r="W53" s="3" t="str">
        <x:v>{"side": "SELL", "symbol": "PEPEUSDT", "order_id": 5415367140, "quantity": "5842105.00", "price": "0.00000342", "quote_amount": "19.97999910", "quote_asset": "USDT", "reason": "dashboard manual sell", "estimated_pnl_usdt": "0E-10", "environment": "production", "recorded_at": 1789255076}</x:v>
      </x:c>
      <x:c r="X53" s="10" t="n">
        <x:v>0</x:v>
      </x:c>
      <x:c r="Y53" s="8" t="n">
        <x:v>46277.97078703704</x:v>
      </x:c>
      <x:c r="Z53" s="3" t="str">
        <x:v>2026-09-13</x:v>
      </x:c>
      <x:c r="AA53" s="3" t="str">
        <x:v>ACTIVE / MIXED</x:v>
      </x:c>
      <x:c r="AB53" s="8" t="n">
        <x:v>46278.08695601852</x:v>
      </x:c>
      <x:c r="AC53" s="10" t="n">
        <x:v>763</x:v>
      </x:c>
      <x:c r="AD53" s="3"/>
      <x:c r="AE53" s="3"/>
      <x:c r="AF53" s="9"/>
      <x:c r="AG53" s="3"/>
      <x:c r="AH53" s="9"/>
      <x:c r="AI53" s="9"/>
      <x:c r="AJ53" s="3"/>
      <x:c r="AK53" s="9"/>
      <x:c r="AL53" s="3"/>
      <x:c r="AM53" s="3"/>
    </x:row>
    <x:row r="54" ht="21" customHeight="1">
      <x:c r="A54" s="8" t="n">
        <x:v>46278.11115740741</x:v>
      </x:c>
      <x:c r="B54" s="3" t="str">
        <x:v>ADAUSDT</x:v>
      </x:c>
      <x:c r="C54" s="3" t="str">
        <x:v>BUY</x:v>
      </x:c>
      <x:c r="D54" s="3" t="str">
        <x:v>8786120213</x:v>
      </x:c>
      <x:c r="E54" s="9" t="n">
        <x:v>144.7</x:v>
      </x:c>
      <x:c r="F54" s="9" t="n">
        <x:v>0.2072</x:v>
      </x:c>
      <x:c r="G54" s="9" t="n">
        <x:v>29.98184</x:v>
      </x:c>
      <x:c r="H54" s="9"/>
      <x:c r="I54" s="3"/>
      <x:c r="J54" s="3" t="str">
        <x:v>gross only; actual fees not recorded</x:v>
      </x:c>
      <x:c r="K54" s="3" t="str">
        <x:v>strategy buy signal</x:v>
      </x:c>
      <x:c r="L54" s="3" t="str">
        <x:v>production</x:v>
      </x:c>
      <x:c r="M54" s="10" t="n">
        <x:v>672</x:v>
      </x:c>
      <x:c r="N54" s="3" t="str">
        <x:v>USDT</x:v>
      </x:c>
      <x:c r="O54" s="9" t="n">
        <x:v>1789256399999</x:v>
      </x:c>
      <x:c r="P54" s="4" t="b">
        <x:v>0</x:v>
      </x:c>
      <x:c r="Q54" s="4" t="b">
        <x:v>1</x:v>
      </x:c>
      <x:c r="R54" s="4" t="b">
        <x:v>1</x:v>
      </x:c>
      <x:c r="S54" s="4" t="b">
        <x:v>1</x:v>
      </x:c>
      <x:c r="T54" s="4" t="b">
        <x:v>1</x:v>
      </x:c>
      <x:c r="U54" s="4" t="b">
        <x:v>1</x:v>
      </x:c>
      <x:c r="V54" s="10" t="n">
        <x:v>1789256404</x:v>
      </x:c>
      <x:c r="W54" s="3" t="str">
        <x:v>{"side": "BUY", "symbol": "ADAUSDT", "order_id": 8786120213, "quantity": "144.70000000", "price": "0.2072", "quote_amount": "29.98184000", "quote_asset": "USDT", "signal_candle_close_time": 1789256399999, "reason": "strategy buy signal", "entry_conditions": {"rsi_recovered": false, "near_support": true, "trend_ok": true, "reward_ok": true, "stop_risk_ok": true, "momentum_ok": true}, "environment": "production", "recorded_at": 1789256404}</x:v>
      </x:c>
      <x:c r="X54" s="10" t="n">
        <x:v>0</x:v>
      </x:c>
      <x:c r="Y54" s="8" t="n">
        <x:v>46277.98615740741</x:v>
      </x:c>
      <x:c r="Z54" s="3" t="str">
        <x:v>2026-09-13</x:v>
      </x:c>
      <x:c r="AA54" s="3" t="str">
        <x:v>ACTIVE / MIXED</x:v>
      </x:c>
      <x:c r="AB54" s="8" t="n">
        <x:v>46278.10815972222</x:v>
      </x:c>
      <x:c r="AC54" s="10" t="n">
        <x:v>259</x:v>
      </x:c>
      <x:c r="AD54" s="3" t="str">
        <x:v>rsi_recovered</x:v>
      </x:c>
      <x:c r="AE54" s="3"/>
      <x:c r="AF54" s="9"/>
      <x:c r="AG54" s="3"/>
      <x:c r="AH54" s="9"/>
      <x:c r="AI54" s="9"/>
      <x:c r="AJ54" s="3"/>
      <x:c r="AK54" s="9"/>
      <x:c r="AL54" s="3"/>
      <x:c r="AM54" s="3"/>
    </x:row>
    <x:row r="55" ht="21" customHeight="1">
      <x:c r="A55" s="8" t="n">
        <x:v>46278.11472222222</x:v>
      </x:c>
      <x:c r="B55" s="3" t="str">
        <x:v>ENAUSDT</x:v>
      </x:c>
      <x:c r="C55" s="3" t="str">
        <x:v>BUY</x:v>
      </x:c>
      <x:c r="D55" s="3" t="str">
        <x:v>3402264202</x:v>
      </x:c>
      <x:c r="E55" s="9" t="n">
        <x:v>210.97</x:v>
      </x:c>
      <x:c r="F55" s="9" t="n">
        <x:v>0.1422</x:v>
      </x:c>
      <x:c r="G55" s="9" t="n">
        <x:v>29.999934</x:v>
      </x:c>
      <x:c r="H55" s="9"/>
      <x:c r="I55" s="3"/>
      <x:c r="J55" s="3" t="str">
        <x:v>gross only; actual fees not recorded</x:v>
      </x:c>
      <x:c r="K55" s="3" t="str">
        <x:v>strategy buy signal</x:v>
      </x:c>
      <x:c r="L55" s="3" t="str">
        <x:v>production</x:v>
      </x:c>
      <x:c r="M55" s="10" t="n">
        <x:v>673</x:v>
      </x:c>
      <x:c r="N55" s="3" t="str">
        <x:v>USDT</x:v>
      </x:c>
      <x:c r="O55" s="9" t="n">
        <x:v>1789256699999</x:v>
      </x:c>
      <x:c r="P55" s="4" t="b">
        <x:v>0</x:v>
      </x:c>
      <x:c r="Q55" s="4" t="b">
        <x:v>1</x:v>
      </x:c>
      <x:c r="R55" s="4" t="b">
        <x:v>1</x:v>
      </x:c>
      <x:c r="S55" s="4" t="b">
        <x:v>1</x:v>
      </x:c>
      <x:c r="T55" s="4" t="b">
        <x:v>1</x:v>
      </x:c>
      <x:c r="U55" s="4" t="b">
        <x:v>1</x:v>
      </x:c>
      <x:c r="V55" s="10" t="n">
        <x:v>1789256712</x:v>
      </x:c>
      <x:c r="W55" s="3" t="str">
        <x:v>{"side": "BUY", "symbol": "ENAUSDT", "order_id": 3402264202, "quantity": "210.97000000", "price": "0.1422", "quote_amount": "29.99993400", "quote_asset": "USDT", "signal_candle_close_time": 1789256699999, "reason": "strategy buy signal", "entry_conditions": {"rsi_recovered": false, "near_support": true, "trend_ok": true, "reward_ok": true, "stop_risk_ok": true, "momentum_ok": true}, "environment": "production", "recorded_at": 1789256712}</x:v>
      </x:c>
      <x:c r="X55" s="10" t="n">
        <x:v>0</x:v>
      </x:c>
      <x:c r="Y55" s="8" t="n">
        <x:v>46277.98972222222</x:v>
      </x:c>
      <x:c r="Z55" s="3" t="str">
        <x:v>2026-09-13</x:v>
      </x:c>
      <x:c r="AA55" s="3" t="str">
        <x:v>ACTIVE / MIXED</x:v>
      </x:c>
      <x:c r="AB55" s="8" t="n">
        <x:v>46278.10815972222</x:v>
      </x:c>
      <x:c r="AC55" s="10" t="n">
        <x:v>567</x:v>
      </x:c>
      <x:c r="AD55" s="3" t="str">
        <x:v>rsi_recovered</x:v>
      </x:c>
      <x:c r="AE55" s="3"/>
      <x:c r="AF55" s="9"/>
      <x:c r="AG55" s="3"/>
      <x:c r="AH55" s="9"/>
      <x:c r="AI55" s="9"/>
      <x:c r="AJ55" s="3"/>
      <x:c r="AK55" s="9"/>
      <x:c r="AL55" s="3"/>
      <x:c r="AM55" s="3"/>
    </x:row>
    <x:row r="56" ht="21" customHeight="1">
      <x:c r="A56" s="8" t="n">
        <x:v>46278.115219907406</x:v>
      </x:c>
      <x:c r="B56" s="3" t="str">
        <x:v>XRPUSDT</x:v>
      </x:c>
      <x:c r="C56" s="3" t="str">
        <x:v>SELL</x:v>
      </x:c>
      <x:c r="D56" s="3" t="str">
        <x:v>15428988625</x:v>
      </x:c>
      <x:c r="E56" s="9" t="n">
        <x:v>29.2</x:v>
      </x:c>
      <x:c r="F56" s="9" t="n">
        <x:v>1.3668</x:v>
      </x:c>
      <x:c r="G56" s="9" t="n">
        <x:v>39.91056</x:v>
      </x:c>
      <x:c r="H56" s="9" t="n">
        <x:v>0.1168</x:v>
      </x:c>
      <x:c r="I56" s="3"/>
      <x:c r="J56" s="3" t="str">
        <x:v>gross only; actual fees not recorded</x:v>
      </x:c>
      <x:c r="K56" s="3" t="str">
        <x:v>dashboard manual sell</x:v>
      </x:c>
      <x:c r="L56" s="3" t="str">
        <x:v>production</x:v>
      </x:c>
      <x:c r="M56" s="10" t="n">
        <x:v>674</x:v>
      </x:c>
      <x:c r="N56" s="3" t="str">
        <x:v>USDT</x:v>
      </x:c>
      <x:c r="O56" s="9"/>
      <x:c r="P56" s="3"/>
      <x:c r="Q56" s="3"/>
      <x:c r="R56" s="3"/>
      <x:c r="S56" s="3"/>
      <x:c r="T56" s="3"/>
      <x:c r="U56" s="3"/>
      <x:c r="V56" s="10" t="n">
        <x:v>1789256755</x:v>
      </x:c>
      <x:c r="W56" s="3" t="str">
        <x:v>{"side": "SELL", "symbol": "XRPUSDT", "order_id": 15428988625, "quantity": "29.20000000", "price": "1.3668", "quote_amount": "39.91056000", "quote_asset": "USDT", "reason": "dashboard manual sell", "estimated_pnl_usdt": "0.116800000000", "environment": "production", "recorded_at": 1789256755}</x:v>
      </x:c>
      <x:c r="X56" s="10" t="n">
        <x:v>0</x:v>
      </x:c>
      <x:c r="Y56" s="8" t="n">
        <x:v>46277.990219907406</x:v>
      </x:c>
      <x:c r="Z56" s="3" t="str">
        <x:v>2026-09-13</x:v>
      </x:c>
      <x:c r="AA56" s="3" t="str">
        <x:v>ACTIVE / MIXED</x:v>
      </x:c>
      <x:c r="AB56" s="8" t="n">
        <x:v>46278.10815972222</x:v>
      </x:c>
      <x:c r="AC56" s="10" t="n">
        <x:v>610</x:v>
      </x:c>
      <x:c r="AD56" s="3"/>
      <x:c r="AE56" s="3"/>
      <x:c r="AF56" s="9"/>
      <x:c r="AG56" s="3"/>
      <x:c r="AH56" s="9"/>
      <x:c r="AI56" s="9"/>
      <x:c r="AJ56" s="3"/>
      <x:c r="AK56" s="9"/>
      <x:c r="AL56" s="3"/>
      <x:c r="AM56" s="3"/>
    </x:row>
    <x:row r="57" ht="21" customHeight="1">
      <x:c r="A57" s="8" t="n">
        <x:v>46278.12520833333</x:v>
      </x:c>
      <x:c r="B57" s="3" t="str">
        <x:v>UNIUSDT</x:v>
      </x:c>
      <x:c r="C57" s="3" t="str">
        <x:v>SELL</x:v>
      </x:c>
      <x:c r="D57" s="3" t="str">
        <x:v>5334574530</x:v>
      </x:c>
      <x:c r="E57" s="9" t="n">
        <x:v>3.15</x:v>
      </x:c>
      <x:c r="F57" s="9" t="n">
        <x:v>6.371</x:v>
      </x:c>
      <x:c r="G57" s="9" t="n">
        <x:v>20.06865</x:v>
      </x:c>
      <x:c r="H57" s="9" t="n">
        <x:v>0.08505</x:v>
      </x:c>
      <x:c r="I57" s="3"/>
      <x:c r="J57" s="3" t="str">
        <x:v>gross only; actual fees not recorded</x:v>
      </x:c>
      <x:c r="K57" s="3" t="str">
        <x:v>RSI sell signal</x:v>
      </x:c>
      <x:c r="L57" s="3" t="str">
        <x:v>production</x:v>
      </x:c>
      <x:c r="M57" s="10" t="n">
        <x:v>675</x:v>
      </x:c>
      <x:c r="N57" s="3" t="str">
        <x:v>USDT</x:v>
      </x:c>
      <x:c r="O57" s="9"/>
      <x:c r="P57" s="3"/>
      <x:c r="Q57" s="3"/>
      <x:c r="R57" s="3"/>
      <x:c r="S57" s="3"/>
      <x:c r="T57" s="3"/>
      <x:c r="U57" s="3"/>
      <x:c r="V57" s="10" t="n">
        <x:v>1789257618</x:v>
      </x:c>
      <x:c r="W57" s="3" t="str">
        <x:v>{"side": "SELL", "symbol": "UNIUSDT", "order_id": 5334574530, "quantity": "3.15000000", "price": "6.371", "quote_amount": "20.06865000", "quote_asset": "USDT", "reason": "RSI sell signal", "estimated_pnl_usdt": "0.08505000000", "environment": "production", "recorded_at": 1789257618}</x:v>
      </x:c>
      <x:c r="X57" s="10" t="n">
        <x:v>0</x:v>
      </x:c>
      <x:c r="Y57" s="8" t="n">
        <x:v>46278.00020833333</x:v>
      </x:c>
      <x:c r="Z57" s="3" t="str">
        <x:v>2026-09-13</x:v>
      </x:c>
      <x:c r="AA57" s="3" t="str">
        <x:v>ACTIVE / MIXED</x:v>
      </x:c>
      <x:c r="AB57" s="8" t="n">
        <x:v>46278.1187037037</x:v>
      </x:c>
      <x:c r="AC57" s="10" t="n">
        <x:v>562</x:v>
      </x:c>
      <x:c r="AD57" s="3"/>
      <x:c r="AE57" s="3"/>
      <x:c r="AF57" s="9"/>
      <x:c r="AG57" s="3"/>
      <x:c r="AH57" s="9"/>
      <x:c r="AI57" s="9"/>
      <x:c r="AJ57" s="3"/>
      <x:c r="AK57" s="9"/>
      <x:c r="AL57" s="3"/>
      <x:c r="AM57" s="3"/>
    </x:row>
    <x:row r="58" ht="21" customHeight="1">
      <x:c r="A58" s="8" t="n">
        <x:v>46278.131006944444</x:v>
      </x:c>
      <x:c r="B58" s="3" t="str">
        <x:v>ADAUSDT</x:v>
      </x:c>
      <x:c r="C58" s="3" t="str">
        <x:v>SELL</x:v>
      </x:c>
      <x:c r="D58" s="3" t="str">
        <x:v>8786126131</x:v>
      </x:c>
      <x:c r="E58" s="9" t="n">
        <x:v>144.7</x:v>
      </x:c>
      <x:c r="F58" s="9" t="n">
        <x:v>0.2079</x:v>
      </x:c>
      <x:c r="G58" s="9" t="n">
        <x:v>30.08313</x:v>
      </x:c>
      <x:c r="H58" s="9" t="n">
        <x:v>0.10129</x:v>
      </x:c>
      <x:c r="I58" s="3"/>
      <x:c r="J58" s="3" t="str">
        <x:v>gross only; actual fees not recorded</x:v>
      </x:c>
      <x:c r="K58" s="3" t="str">
        <x:v>take profit</x:v>
      </x:c>
      <x:c r="L58" s="3" t="str">
        <x:v>production</x:v>
      </x:c>
      <x:c r="M58" s="10" t="n">
        <x:v>676</x:v>
      </x:c>
      <x:c r="N58" s="3" t="str">
        <x:v>USDT</x:v>
      </x:c>
      <x:c r="O58" s="9"/>
      <x:c r="P58" s="3"/>
      <x:c r="Q58" s="3"/>
      <x:c r="R58" s="3"/>
      <x:c r="S58" s="3"/>
      <x:c r="T58" s="3"/>
      <x:c r="U58" s="3"/>
      <x:c r="V58" s="10" t="n">
        <x:v>1789258119</x:v>
      </x:c>
      <x:c r="W58" s="3" t="str">
        <x:v>{"side": "SELL", "symbol": "ADAUSDT", "order_id": 8786126131, "quantity": "144.70000000", "price": "0.2079", "quote_amount": "30.08313000", "quote_asset": "USDT", "reason": "take profit", "estimated_pnl_usdt": "0.101290000000", "environment": "production", "recorded_at": 1789258119}</x:v>
      </x:c>
      <x:c r="X58" s="10" t="n">
        <x:v>0</x:v>
      </x:c>
      <x:c r="Y58" s="8" t="n">
        <x:v>46278.006006944444</x:v>
      </x:c>
      <x:c r="Z58" s="3" t="str">
        <x:v>2026-09-13</x:v>
      </x:c>
      <x:c r="AA58" s="3" t="str">
        <x:v>ACTIVE / MIXED</x:v>
      </x:c>
      <x:c r="AB58" s="8" t="n">
        <x:v>46278.12943287037</x:v>
      </x:c>
      <x:c r="AC58" s="10" t="n">
        <x:v>136</x:v>
      </x:c>
      <x:c r="AD58" s="3"/>
      <x:c r="AE58" s="3"/>
      <x:c r="AF58" s="9"/>
      <x:c r="AG58" s="3"/>
      <x:c r="AH58" s="9"/>
      <x:c r="AI58" s="9"/>
      <x:c r="AJ58" s="3"/>
      <x:c r="AK58" s="9"/>
      <x:c r="AL58" s="3"/>
      <x:c r="AM58" s="3"/>
    </x:row>
    <x:row r="59" ht="21" customHeight="1">
      <x:c r="A59" s="8" t="n">
        <x:v>46278.13209490741</x:v>
      </x:c>
      <x:c r="B59" s="3" t="str">
        <x:v>SUIUSDT</x:v>
      </x:c>
      <x:c r="C59" s="3" t="str">
        <x:v>SELL</x:v>
      </x:c>
      <x:c r="D59" s="3" t="str">
        <x:v>8848930251</x:v>
      </x:c>
      <x:c r="E59" s="9" t="n">
        <x:v>27.6</x:v>
      </x:c>
      <x:c r="F59" s="9" t="n">
        <x:v>0.7255</x:v>
      </x:c>
      <x:c r="G59" s="9" t="n">
        <x:v>20.0238</x:v>
      </x:c>
      <x:c r="H59" s="9" t="n">
        <x:v>0.0828</x:v>
      </x:c>
      <x:c r="I59" s="3"/>
      <x:c r="J59" s="3" t="str">
        <x:v>gross only; actual fees not recorded</x:v>
      </x:c>
      <x:c r="K59" s="3" t="str">
        <x:v>RSI sell signal</x:v>
      </x:c>
      <x:c r="L59" s="3" t="str">
        <x:v>production</x:v>
      </x:c>
      <x:c r="M59" s="10" t="n">
        <x:v>677</x:v>
      </x:c>
      <x:c r="N59" s="3" t="str">
        <x:v>USDT</x:v>
      </x:c>
      <x:c r="O59" s="9"/>
      <x:c r="P59" s="3"/>
      <x:c r="Q59" s="3"/>
      <x:c r="R59" s="3"/>
      <x:c r="S59" s="3"/>
      <x:c r="T59" s="3"/>
      <x:c r="U59" s="3"/>
      <x:c r="V59" s="10" t="n">
        <x:v>1789258213</x:v>
      </x:c>
      <x:c r="W59" s="3" t="str">
        <x:v>{"side": "SELL", "symbol": "SUIUSDT", "order_id": 8848930251, "quantity": "27.60000000", "price": "0.7255", "quote_amount": "20.02380000", "quote_asset": "USDT", "reason": "RSI sell signal", "estimated_pnl_usdt": "0.082800000000", "environment": "production", "recorded_at": 1789258213}</x:v>
      </x:c>
      <x:c r="X59" s="10" t="n">
        <x:v>0</x:v>
      </x:c>
      <x:c r="Y59" s="8" t="n">
        <x:v>46278.00709490741</x:v>
      </x:c>
      <x:c r="Z59" s="3" t="str">
        <x:v>2026-09-13</x:v>
      </x:c>
      <x:c r="AA59" s="3" t="str">
        <x:v>ACTIVE / MIXED</x:v>
      </x:c>
      <x:c r="AB59" s="8" t="n">
        <x:v>46278.12943287037</x:v>
      </x:c>
      <x:c r="AC59" s="10" t="n">
        <x:v>230</x:v>
      </x:c>
      <x:c r="AD59" s="3"/>
      <x:c r="AE59" s="3"/>
      <x:c r="AF59" s="9"/>
      <x:c r="AG59" s="3"/>
      <x:c r="AH59" s="9"/>
      <x:c r="AI59" s="9"/>
      <x:c r="AJ59" s="3"/>
      <x:c r="AK59" s="9"/>
      <x:c r="AL59" s="3"/>
      <x:c r="AM59" s="3"/>
    </x:row>
    <x:row r="60" ht="21" customHeight="1">
      <x:c r="A60" s="8" t="n">
        <x:v>46278.13559027778</x:v>
      </x:c>
      <x:c r="B60" s="3" t="str">
        <x:v>WLDUSDT</x:v>
      </x:c>
      <x:c r="C60" s="3" t="str">
        <x:v>BUY</x:v>
      </x:c>
      <x:c r="D60" s="3" t="str">
        <x:v>4151656854</x:v>
      </x:c>
      <x:c r="E60" s="9" t="n">
        <x:v>74.9</x:v>
      </x:c>
      <x:c r="F60" s="9" t="n">
        <x:v>0.4005</x:v>
      </x:c>
      <x:c r="G60" s="9" t="n">
        <x:v>29.99745</x:v>
      </x:c>
      <x:c r="H60" s="9"/>
      <x:c r="I60" s="3"/>
      <x:c r="J60" s="3" t="str">
        <x:v>gross only; actual fees not recorded</x:v>
      </x:c>
      <x:c r="K60" s="3" t="str">
        <x:v>strategy buy signal</x:v>
      </x:c>
      <x:c r="L60" s="3" t="str">
        <x:v>production</x:v>
      </x:c>
      <x:c r="M60" s="10" t="n">
        <x:v>678</x:v>
      </x:c>
      <x:c r="N60" s="3" t="str">
        <x:v>USDT</x:v>
      </x:c>
      <x:c r="O60" s="9" t="n">
        <x:v>1789258499999</x:v>
      </x:c>
      <x:c r="P60" s="4" t="b">
        <x:v>0</x:v>
      </x:c>
      <x:c r="Q60" s="4" t="b">
        <x:v>1</x:v>
      </x:c>
      <x:c r="R60" s="4" t="b">
        <x:v>1</x:v>
      </x:c>
      <x:c r="S60" s="4" t="b">
        <x:v>1</x:v>
      </x:c>
      <x:c r="T60" s="4" t="b">
        <x:v>1</x:v>
      </x:c>
      <x:c r="U60" s="4" t="b">
        <x:v>1</x:v>
      </x:c>
      <x:c r="V60" s="10" t="n">
        <x:v>1789258515</x:v>
      </x:c>
      <x:c r="W60" s="3" t="str">
        <x:v>{"side": "BUY", "symbol": "WLDUSDT", "order_id": 4151656854, "quantity": "74.90000000", "price": "0.4005", "quote_amount": "29.99745000", "quote_asset": "USDT", "signal_candle_close_time": 1789258499999, "reason": "strategy buy signal", "entry_conditions": {"rsi_recovered": false, "near_support": true, "trend_ok": true, "reward_ok": true, "stop_risk_ok": true, "momentum_ok": true}, "environment": "production", "recorded_at": 1789258515}</x:v>
      </x:c>
      <x:c r="X60" s="10" t="n">
        <x:v>0</x:v>
      </x:c>
      <x:c r="Y60" s="8" t="n">
        <x:v>46278.01059027778</x:v>
      </x:c>
      <x:c r="Z60" s="3" t="str">
        <x:v>2026-09-13</x:v>
      </x:c>
      <x:c r="AA60" s="3" t="str">
        <x:v>ACTIVE / MIXED</x:v>
      </x:c>
      <x:c r="AB60" s="8" t="n">
        <x:v>46278.12943287037</x:v>
      </x:c>
      <x:c r="AC60" s="10" t="n">
        <x:v>532</x:v>
      </x:c>
      <x:c r="AD60" s="3" t="str">
        <x:v>rsi_recovered</x:v>
      </x:c>
      <x:c r="AE60" s="3"/>
      <x:c r="AF60" s="9"/>
      <x:c r="AG60" s="3"/>
      <x:c r="AH60" s="9"/>
      <x:c r="AI60" s="9"/>
      <x:c r="AJ60" s="3"/>
      <x:c r="AK60" s="9"/>
      <x:c r="AL60" s="3"/>
      <x:c r="AM60" s="3"/>
    </x:row>
    <x:row r="61" ht="21" customHeight="1">
      <x:c r="A61" s="8" t="n">
        <x:v>46278.1562962963</x:v>
      </x:c>
      <x:c r="B61" s="3" t="str">
        <x:v>NEARUSDT</x:v>
      </x:c>
      <x:c r="C61" s="3" t="str">
        <x:v>BUY</x:v>
      </x:c>
      <x:c r="D61" s="3" t="str">
        <x:v>5124262966</x:v>
      </x:c>
      <x:c r="E61" s="9" t="n">
        <x:v>12.6</x:v>
      </x:c>
      <x:c r="F61" s="9" t="n">
        <x:v>2.368</x:v>
      </x:c>
      <x:c r="G61" s="9" t="n">
        <x:v>29.8368</x:v>
      </x:c>
      <x:c r="H61" s="9"/>
      <x:c r="I61" s="3"/>
      <x:c r="J61" s="3" t="str">
        <x:v>gross only; actual fees not recorded</x:v>
      </x:c>
      <x:c r="K61" s="3" t="str">
        <x:v>strategy buy signal</x:v>
      </x:c>
      <x:c r="L61" s="3" t="str">
        <x:v>production</x:v>
      </x:c>
      <x:c r="M61" s="10" t="n">
        <x:v>679</x:v>
      </x:c>
      <x:c r="N61" s="3" t="str">
        <x:v>USDT</x:v>
      </x:c>
      <x:c r="O61" s="9" t="n">
        <x:v>1789260299999</x:v>
      </x:c>
      <x:c r="P61" s="4" t="b">
        <x:v>0</x:v>
      </x:c>
      <x:c r="Q61" s="4" t="b">
        <x:v>1</x:v>
      </x:c>
      <x:c r="R61" s="4" t="b">
        <x:v>1</x:v>
      </x:c>
      <x:c r="S61" s="4" t="b">
        <x:v>1</x:v>
      </x:c>
      <x:c r="T61" s="4" t="b">
        <x:v>1</x:v>
      </x:c>
      <x:c r="U61" s="4" t="b">
        <x:v>1</x:v>
      </x:c>
      <x:c r="V61" s="10" t="n">
        <x:v>1789260304</x:v>
      </x:c>
      <x:c r="W61" s="3" t="str">
        <x:v>{"side": "BUY", "symbol": "NEARUSDT", "order_id": 5124262966, "quantity": "12.60000000", "price": "2.368", "quote_amount": "29.83680000", "quote_asset": "USDT", "signal_candle_close_time": 1789260299999, "reason": "strategy buy signal", "entry_conditions": {"rsi_recovered": false, "near_support": true, "trend_ok": true, "reward_ok": true, "stop_risk_ok": true, "momentum_ok": true}, "environment": "production", "recorded_at": 1789260304}</x:v>
      </x:c>
      <x:c r="X61" s="10" t="n">
        <x:v>0</x:v>
      </x:c>
      <x:c r="Y61" s="8" t="n">
        <x:v>46278.0312962963</x:v>
      </x:c>
      <x:c r="Z61" s="3" t="str">
        <x:v>2026-09-13</x:v>
      </x:c>
      <x:c r="AA61" s="3" t="str">
        <x:v>ACTIVE / MIXED</x:v>
      </x:c>
      <x:c r="AB61" s="8" t="n">
        <x:v>46278.150671296295</x:v>
      </x:c>
      <x:c r="AC61" s="10" t="n">
        <x:v>486</x:v>
      </x:c>
      <x:c r="AD61" s="3" t="str">
        <x:v>rsi_recovered</x:v>
      </x:c>
      <x:c r="AE61" s="3"/>
      <x:c r="AF61" s="9"/>
      <x:c r="AG61" s="3"/>
      <x:c r="AH61" s="9"/>
      <x:c r="AI61" s="9"/>
      <x:c r="AJ61" s="3"/>
      <x:c r="AK61" s="9"/>
      <x:c r="AL61" s="3"/>
      <x:c r="AM61" s="3"/>
    </x:row>
    <x:row r="62" ht="21" customHeight="1">
      <x:c r="A62" s="8" t="n">
        <x:v>46278.15630787037</x:v>
      </x:c>
      <x:c r="B62" s="3" t="str">
        <x:v>ENAUSDT</x:v>
      </x:c>
      <x:c r="C62" s="3" t="str">
        <x:v>SELL</x:v>
      </x:c>
      <x:c r="D62" s="3" t="str">
        <x:v>3402279071</x:v>
      </x:c>
      <x:c r="E62" s="9" t="n">
        <x:v>210.97</x:v>
      </x:c>
      <x:c r="F62" s="9" t="n">
        <x:v>0.1417</x:v>
      </x:c>
      <x:c r="G62" s="9" t="n">
        <x:v>29.894449</x:v>
      </x:c>
      <x:c r="H62" s="9" t="n">
        <x:v>-0.105485</x:v>
      </x:c>
      <x:c r="I62" s="3"/>
      <x:c r="J62" s="3" t="str">
        <x:v>gross only; actual fees not recorded</x:v>
      </x:c>
      <x:c r="K62" s="3" t="str">
        <x:v>stop loss</x:v>
      </x:c>
      <x:c r="L62" s="3" t="str">
        <x:v>production</x:v>
      </x:c>
      <x:c r="M62" s="10" t="n">
        <x:v>680</x:v>
      </x:c>
      <x:c r="N62" s="3" t="str">
        <x:v>USDT</x:v>
      </x:c>
      <x:c r="O62" s="9"/>
      <x:c r="P62" s="3"/>
      <x:c r="Q62" s="3"/>
      <x:c r="R62" s="3"/>
      <x:c r="S62" s="3"/>
      <x:c r="T62" s="3"/>
      <x:c r="U62" s="3"/>
      <x:c r="V62" s="10" t="n">
        <x:v>1789260305</x:v>
      </x:c>
      <x:c r="W62" s="3" t="str">
        <x:v>{"side": "SELL", "symbol": "ENAUSDT", "order_id": 3402279071, "quantity": "210.97000000", "price": "0.1417", "quote_amount": "29.89444900", "quote_asset": "USDT", "reason": "stop loss", "estimated_pnl_usdt": "-0.105485000000", "environment": "production", "recorded_at": 1789260305}</x:v>
      </x:c>
      <x:c r="X62" s="10" t="n">
        <x:v>0</x:v>
      </x:c>
      <x:c r="Y62" s="8" t="n">
        <x:v>46278.03130787037</x:v>
      </x:c>
      <x:c r="Z62" s="3" t="str">
        <x:v>2026-09-13</x:v>
      </x:c>
      <x:c r="AA62" s="3" t="str">
        <x:v>ACTIVE / MIXED</x:v>
      </x:c>
      <x:c r="AB62" s="8" t="n">
        <x:v>46278.150671296295</x:v>
      </x:c>
      <x:c r="AC62" s="10" t="n">
        <x:v>487</x:v>
      </x:c>
      <x:c r="AD62" s="3"/>
      <x:c r="AE62" s="3"/>
      <x:c r="AF62" s="9"/>
      <x:c r="AG62" s="3"/>
      <x:c r="AH62" s="9"/>
      <x:c r="AI62" s="9"/>
      <x:c r="AJ62" s="3"/>
      <x:c r="AK62" s="9"/>
      <x:c r="AL62" s="3"/>
      <x:c r="AM62" s="3"/>
    </x:row>
    <x:row r="63" ht="21" customHeight="1">
      <x:c r="A63" s="8" t="n">
        <x:v>46278.15636574074</x:v>
      </x:c>
      <x:c r="B63" s="3" t="str">
        <x:v>ADAUSDT</x:v>
      </x:c>
      <x:c r="C63" s="3" t="str">
        <x:v>BUY</x:v>
      </x:c>
      <x:c r="D63" s="3" t="str">
        <x:v>8786136563</x:v>
      </x:c>
      <x:c r="E63" s="9" t="n">
        <x:v>144.3</x:v>
      </x:c>
      <x:c r="F63" s="9" t="n">
        <x:v>0.2079</x:v>
      </x:c>
      <x:c r="G63" s="9" t="n">
        <x:v>29.99997</x:v>
      </x:c>
      <x:c r="H63" s="9"/>
      <x:c r="I63" s="3"/>
      <x:c r="J63" s="3" t="str">
        <x:v>gross only; actual fees not recorded</x:v>
      </x:c>
      <x:c r="K63" s="3" t="str">
        <x:v>strategy buy signal</x:v>
      </x:c>
      <x:c r="L63" s="3" t="str">
        <x:v>production</x:v>
      </x:c>
      <x:c r="M63" s="10" t="n">
        <x:v>681</x:v>
      </x:c>
      <x:c r="N63" s="3" t="str">
        <x:v>USDT</x:v>
      </x:c>
      <x:c r="O63" s="9" t="n">
        <x:v>1789260299999</x:v>
      </x:c>
      <x:c r="P63" s="4" t="b">
        <x:v>0</x:v>
      </x:c>
      <x:c r="Q63" s="4" t="b">
        <x:v>1</x:v>
      </x:c>
      <x:c r="R63" s="4" t="b">
        <x:v>1</x:v>
      </x:c>
      <x:c r="S63" s="4" t="b">
        <x:v>1</x:v>
      </x:c>
      <x:c r="T63" s="4" t="b">
        <x:v>1</x:v>
      </x:c>
      <x:c r="U63" s="4" t="b">
        <x:v>1</x:v>
      </x:c>
      <x:c r="V63" s="10" t="n">
        <x:v>1789260310</x:v>
      </x:c>
      <x:c r="W63" s="3" t="str">
        <x:v>{"side": "BUY", "symbol": "ADAUSDT", "order_id": 8786136563, "quantity": "144.30000000", "price": "0.2079", "quote_amount": "29.99997000", "quote_asset": "USDT", "signal_candle_close_time": 1789260299999, "reason": "strategy buy signal", "entry_conditions": {"rsi_recovered": false, "near_support": true, "trend_ok": true, "reward_ok": true, "stop_risk_ok": true, "momentum_ok": true}, "environment": "production", "recorded_at": 1789260310}</x:v>
      </x:c>
      <x:c r="X63" s="10" t="n">
        <x:v>0</x:v>
      </x:c>
      <x:c r="Y63" s="8" t="n">
        <x:v>46278.03136574074</x:v>
      </x:c>
      <x:c r="Z63" s="3" t="str">
        <x:v>2026-09-13</x:v>
      </x:c>
      <x:c r="AA63" s="3" t="str">
        <x:v>ACTIVE / MIXED</x:v>
      </x:c>
      <x:c r="AB63" s="8" t="n">
        <x:v>46278.150671296295</x:v>
      </x:c>
      <x:c r="AC63" s="10" t="n">
        <x:v>492</x:v>
      </x:c>
      <x:c r="AD63" s="3" t="str">
        <x:v>rsi_recovered</x:v>
      </x:c>
      <x:c r="AE63" s="3"/>
      <x:c r="AF63" s="9"/>
      <x:c r="AG63" s="3"/>
      <x:c r="AH63" s="9"/>
      <x:c r="AI63" s="9"/>
      <x:c r="AJ63" s="3"/>
      <x:c r="AK63" s="9"/>
      <x:c r="AL63" s="3"/>
      <x:c r="AM63" s="3"/>
    </x:row>
    <x:row r="64" ht="21" customHeight="1">
      <x:c r="A64" s="8" t="n">
        <x:v>46278.17369212963</x:v>
      </x:c>
      <x:c r="B64" s="3" t="str">
        <x:v>PEPEUSDT</x:v>
      </x:c>
      <x:c r="C64" s="3" t="str">
        <x:v>BUY</x:v>
      </x:c>
      <x:c r="D64" s="3" t="str">
        <x:v>5415390862</x:v>
      </x:c>
      <x:c r="E64" s="9" t="n">
        <x:v>8746355</x:v>
      </x:c>
      <x:c r="F64" s="9" t="n">
        <x:v>0.00000343</x:v>
      </x:c>
      <x:c r="G64" s="9" t="n">
        <x:v>29.99999765</x:v>
      </x:c>
      <x:c r="H64" s="9"/>
      <x:c r="I64" s="3"/>
      <x:c r="J64" s="3" t="str">
        <x:v>gross only; actual fees not recorded</x:v>
      </x:c>
      <x:c r="K64" s="3" t="str">
        <x:v>strategy buy signal</x:v>
      </x:c>
      <x:c r="L64" s="3" t="str">
        <x:v>production</x:v>
      </x:c>
      <x:c r="M64" s="10" t="n">
        <x:v>682</x:v>
      </x:c>
      <x:c r="N64" s="3" t="str">
        <x:v>USDT</x:v>
      </x:c>
      <x:c r="O64" s="9" t="n">
        <x:v>1789261799999</x:v>
      </x:c>
      <x:c r="P64" s="4" t="b">
        <x:v>0</x:v>
      </x:c>
      <x:c r="Q64" s="4" t="b">
        <x:v>1</x:v>
      </x:c>
      <x:c r="R64" s="4" t="b">
        <x:v>1</x:v>
      </x:c>
      <x:c r="S64" s="4" t="b">
        <x:v>1</x:v>
      </x:c>
      <x:c r="T64" s="4" t="b">
        <x:v>1</x:v>
      </x:c>
      <x:c r="U64" s="4" t="b">
        <x:v>1</x:v>
      </x:c>
      <x:c r="V64" s="10" t="n">
        <x:v>1789261807</x:v>
      </x:c>
      <x:c r="W64" s="3" t="str">
        <x:v>{"side": "BUY", "symbol": "PEPEUSDT", "order_id": 5415390862, "quantity": "8746355.00", "price": "0.00000343", "quote_amount": "29.99999765", "quote_asset": "USDT", "signal_candle_close_time": 1789261799999, "reason": "strategy buy signal", "entry_conditions": {"rsi_recovered": false, "near_support": true, "trend_ok": true, "reward_ok": true, "stop_risk_ok": true, "momentum_ok": true}, "environment": "production", "recorded_at": 1789261807}</x:v>
      </x:c>
      <x:c r="X64" s="10" t="n">
        <x:v>0</x:v>
      </x:c>
      <x:c r="Y64" s="8" t="n">
        <x:v>46278.04869212963</x:v>
      </x:c>
      <x:c r="Z64" s="3" t="str">
        <x:v>2026-09-13</x:v>
      </x:c>
      <x:c r="AA64" s="3" t="str">
        <x:v>ACTIVE / MIXED</x:v>
      </x:c>
      <x:c r="AB64" s="8" t="n">
        <x:v>46278.171898148146</x:v>
      </x:c>
      <x:c r="AC64" s="10" t="n">
        <x:v>155</x:v>
      </x:c>
      <x:c r="AD64" s="3" t="str">
        <x:v>rsi_recovered</x:v>
      </x:c>
      <x:c r="AE64" s="3"/>
      <x:c r="AF64" s="9"/>
      <x:c r="AG64" s="3"/>
      <x:c r="AH64" s="9"/>
      <x:c r="AI64" s="9"/>
      <x:c r="AJ64" s="3"/>
      <x:c r="AK64" s="9"/>
      <x:c r="AL64" s="3"/>
      <x:c r="AM64" s="3"/>
    </x:row>
    <x:row r="65" ht="21" customHeight="1">
      <x:c r="A65" s="8" t="n">
        <x:v>46278.177199074074</x:v>
      </x:c>
      <x:c r="B65" s="3" t="str">
        <x:v>WLDUSDT</x:v>
      </x:c>
      <x:c r="C65" s="3" t="str">
        <x:v>SELL</x:v>
      </x:c>
      <x:c r="D65" s="3" t="str">
        <x:v>4151683756</x:v>
      </x:c>
      <x:c r="E65" s="9" t="n">
        <x:v>74.9</x:v>
      </x:c>
      <x:c r="F65" s="9" t="n">
        <x:v>0.3982</x:v>
      </x:c>
      <x:c r="G65" s="9" t="n">
        <x:v>29.82518</x:v>
      </x:c>
      <x:c r="H65" s="9" t="n">
        <x:v>-0.17227</x:v>
      </x:c>
      <x:c r="I65" s="3"/>
      <x:c r="J65" s="3" t="str">
        <x:v>gross only; actual fees not recorded</x:v>
      </x:c>
      <x:c r="K65" s="3" t="str">
        <x:v>stop loss</x:v>
      </x:c>
      <x:c r="L65" s="3" t="str">
        <x:v>production</x:v>
      </x:c>
      <x:c r="M65" s="10" t="n">
        <x:v>683</x:v>
      </x:c>
      <x:c r="N65" s="3" t="str">
        <x:v>USDT</x:v>
      </x:c>
      <x:c r="O65" s="9"/>
      <x:c r="P65" s="3"/>
      <x:c r="Q65" s="3"/>
      <x:c r="R65" s="3"/>
      <x:c r="S65" s="3"/>
      <x:c r="T65" s="3"/>
      <x:c r="U65" s="3"/>
      <x:c r="V65" s="10" t="n">
        <x:v>1789262110</x:v>
      </x:c>
      <x:c r="W65" s="3" t="str">
        <x:v>{"side": "SELL", "symbol": "WLDUSDT", "order_id": 4151683756, "quantity": "74.90000000", "price": "0.3982", "quote_amount": "29.82518000", "quote_asset": "USDT", "reason": "stop loss", "estimated_pnl_usdt": "-0.172270000000", "environment": "production", "recorded_at": 1789262110}</x:v>
      </x:c>
      <x:c r="X65" s="10" t="n">
        <x:v>0</x:v>
      </x:c>
      <x:c r="Y65" s="8" t="n">
        <x:v>46278.052199074074</x:v>
      </x:c>
      <x:c r="Z65" s="3" t="str">
        <x:v>2026-09-13</x:v>
      </x:c>
      <x:c r="AA65" s="3" t="str">
        <x:v>ACTIVE / MIXED</x:v>
      </x:c>
      <x:c r="AB65" s="8" t="n">
        <x:v>46278.171898148146</x:v>
      </x:c>
      <x:c r="AC65" s="10" t="n">
        <x:v>458</x:v>
      </x:c>
      <x:c r="AD65" s="3"/>
      <x:c r="AE65" s="3"/>
      <x:c r="AF65" s="9"/>
      <x:c r="AG65" s="3"/>
      <x:c r="AH65" s="9"/>
      <x:c r="AI65" s="9"/>
      <x:c r="AJ65" s="3"/>
      <x:c r="AK65" s="9"/>
      <x:c r="AL65" s="3"/>
      <x:c r="AM65" s="3"/>
    </x:row>
    <x:row r="66" ht="21" customHeight="1">
      <x:c r="A66" s="8" t="n">
        <x:v>46278.181863425925</x:v>
      </x:c>
      <x:c r="B66" s="3" t="str">
        <x:v>ZECUSDT</x:v>
      </x:c>
      <x:c r="C66" s="3" t="str">
        <x:v>SELL</x:v>
      </x:c>
      <x:c r="D66" s="3" t="str">
        <x:v>6086904966</x:v>
      </x:c>
      <x:c r="E66" s="9" t="n">
        <x:v>0.026</x:v>
      </x:c>
      <x:c r="F66" s="9" t="n">
        <x:v>1133.25</x:v>
      </x:c>
      <x:c r="G66" s="9" t="n">
        <x:v>29.4645</x:v>
      </x:c>
      <x:c r="H66" s="9" t="n">
        <x:v>0.22256</x:v>
      </x:c>
      <x:c r="I66" s="3"/>
      <x:c r="J66" s="3" t="str">
        <x:v>gross only; actual fees not recorded</x:v>
      </x:c>
      <x:c r="K66" s="3" t="str">
        <x:v>take profit</x:v>
      </x:c>
      <x:c r="L66" s="3" t="str">
        <x:v>production</x:v>
      </x:c>
      <x:c r="M66" s="10" t="n">
        <x:v>684</x:v>
      </x:c>
      <x:c r="N66" s="3" t="str">
        <x:v>USDT</x:v>
      </x:c>
      <x:c r="O66" s="9"/>
      <x:c r="P66" s="3"/>
      <x:c r="Q66" s="3"/>
      <x:c r="R66" s="3"/>
      <x:c r="S66" s="3"/>
      <x:c r="T66" s="3"/>
      <x:c r="U66" s="3"/>
      <x:c r="V66" s="10" t="n">
        <x:v>1789262513</x:v>
      </x:c>
      <x:c r="W66" s="3" t="str">
        <x:v>{"side": "SELL", "symbol": "ZECUSDT", "order_id": 6086904966, "quantity": "0.02600000", "price": "1133.25", "quote_amount": "29.46450000", "quote_asset": "USDT", "reason": "take profit", "estimated_pnl_usdt": "0.2225600000", "environment": "production", "recorded_at": 1789262513}</x:v>
      </x:c>
      <x:c r="X66" s="10" t="n">
        <x:v>0</x:v>
      </x:c>
      <x:c r="Y66" s="8" t="n">
        <x:v>46278.056863425925</x:v>
      </x:c>
      <x:c r="Z66" s="3" t="str">
        <x:v>2026-09-13</x:v>
      </x:c>
      <x:c r="AA66" s="3" t="str">
        <x:v>ACTIVE / MIXED</x:v>
      </x:c>
      <x:c r="AB66" s="8" t="n">
        <x:v>46278.171898148146</x:v>
      </x:c>
      <x:c r="AC66" s="10" t="n">
        <x:v>861</x:v>
      </x:c>
      <x:c r="AD66" s="3"/>
      <x:c r="AE66" s="3"/>
      <x:c r="AF66" s="9"/>
      <x:c r="AG66" s="3"/>
      <x:c r="AH66" s="9"/>
      <x:c r="AI66" s="9"/>
      <x:c r="AJ66" s="3"/>
      <x:c r="AK66" s="9"/>
      <x:c r="AL66" s="3"/>
      <x:c r="AM66" s="3"/>
    </x:row>
    <x:row r="67" ht="21" customHeight="1">
      <x:c r="A67" s="8" t="n">
        <x:v>46278.19101851852</x:v>
      </x:c>
      <x:c r="B67" s="3" t="str">
        <x:v>ADAUSDT</x:v>
      </x:c>
      <x:c r="C67" s="3" t="str">
        <x:v>SELL</x:v>
      </x:c>
      <x:c r="D67" s="3" t="str">
        <x:v>8786154006</x:v>
      </x:c>
      <x:c r="E67" s="9" t="n">
        <x:v>144.3</x:v>
      </x:c>
      <x:c r="F67" s="9" t="n">
        <x:v>0.2072</x:v>
      </x:c>
      <x:c r="G67" s="9" t="n">
        <x:v>29.89896</x:v>
      </x:c>
      <x:c r="H67" s="9" t="n">
        <x:v>-0.10101</x:v>
      </x:c>
      <x:c r="I67" s="3"/>
      <x:c r="J67" s="3" t="str">
        <x:v>gross only; actual fees not recorded</x:v>
      </x:c>
      <x:c r="K67" s="3" t="str">
        <x:v>stop loss</x:v>
      </x:c>
      <x:c r="L67" s="3" t="str">
        <x:v>production</x:v>
      </x:c>
      <x:c r="M67" s="10" t="n">
        <x:v>685</x:v>
      </x:c>
      <x:c r="N67" s="3" t="str">
        <x:v>USDT</x:v>
      </x:c>
      <x:c r="O67" s="9"/>
      <x:c r="P67" s="3"/>
      <x:c r="Q67" s="3"/>
      <x:c r="R67" s="3"/>
      <x:c r="S67" s="3"/>
      <x:c r="T67" s="3"/>
      <x:c r="U67" s="3"/>
      <x:c r="V67" s="10" t="n">
        <x:v>1789263304</x:v>
      </x:c>
      <x:c r="W67" s="3" t="str">
        <x:v>{"side": "SELL", "symbol": "ADAUSDT", "order_id": 8786154006, "quantity": "144.30000000", "price": "0.2072", "quote_amount": "29.89896000", "quote_asset": "USDT", "reason": "stop loss", "estimated_pnl_usdt": "-0.101010000000", "environment": "production", "recorded_at": 1789263304}</x:v>
      </x:c>
      <x:c r="X67" s="10" t="n">
        <x:v>0</x:v>
      </x:c>
      <x:c r="Y67" s="8" t="n">
        <x:v>46278.06601851852</x:v>
      </x:c>
      <x:c r="Z67" s="3" t="str">
        <x:v>2026-09-13</x:v>
      </x:c>
      <x:c r="AA67" s="3" t="str">
        <x:v>ACTIVE / MIXED</x:v>
      </x:c>
      <x:c r="AB67" s="8" t="n">
        <x:v>46278.182337962964</x:v>
      </x:c>
      <x:c r="AC67" s="10" t="n">
        <x:v>750</x:v>
      </x:c>
      <x:c r="AD67" s="3"/>
      <x:c r="AE67" s="3"/>
      <x:c r="AF67" s="9"/>
      <x:c r="AG67" s="3"/>
      <x:c r="AH67" s="9"/>
      <x:c r="AI67" s="9"/>
      <x:c r="AJ67" s="3"/>
      <x:c r="AK67" s="9"/>
      <x:c r="AL67" s="3"/>
      <x:c r="AM67" s="3"/>
    </x:row>
    <x:row r="68" ht="21" customHeight="1">
      <x:c r="A68" s="8" t="n">
        <x:v>46278.191342592596</x:v>
      </x:c>
      <x:c r="B68" s="3" t="str">
        <x:v>SUIUSDT</x:v>
      </x:c>
      <x:c r="C68" s="3" t="str">
        <x:v>BUY</x:v>
      </x:c>
      <x:c r="D68" s="3" t="str">
        <x:v>8849018304</x:v>
      </x:c>
      <x:c r="E68" s="9" t="n">
        <x:v>41.2</x:v>
      </x:c>
      <x:c r="F68" s="9" t="n">
        <x:v>0.7268</x:v>
      </x:c>
      <x:c r="G68" s="9" t="n">
        <x:v>29.94416</x:v>
      </x:c>
      <x:c r="H68" s="9"/>
      <x:c r="I68" s="3"/>
      <x:c r="J68" s="3" t="str">
        <x:v>gross only; actual fees not recorded</x:v>
      </x:c>
      <x:c r="K68" s="3" t="str">
        <x:v>strategy buy signal</x:v>
      </x:c>
      <x:c r="L68" s="3" t="str">
        <x:v>production</x:v>
      </x:c>
      <x:c r="M68" s="10" t="n">
        <x:v>686</x:v>
      </x:c>
      <x:c r="N68" s="3" t="str">
        <x:v>USDT</x:v>
      </x:c>
      <x:c r="O68" s="9" t="n">
        <x:v>1789263299999</x:v>
      </x:c>
      <x:c r="P68" s="4" t="b">
        <x:v>0</x:v>
      </x:c>
      <x:c r="Q68" s="4" t="b">
        <x:v>1</x:v>
      </x:c>
      <x:c r="R68" s="4" t="b">
        <x:v>1</x:v>
      </x:c>
      <x:c r="S68" s="4" t="b">
        <x:v>1</x:v>
      </x:c>
      <x:c r="T68" s="4" t="b">
        <x:v>1</x:v>
      </x:c>
      <x:c r="U68" s="4" t="b">
        <x:v>1</x:v>
      </x:c>
      <x:c r="V68" s="10" t="n">
        <x:v>1789263332</x:v>
      </x:c>
      <x:c r="W68" s="3" t="str">
        <x:v>{"side": "BUY", "symbol": "SUIUSDT", "order_id": 8849018304, "quantity": "41.20000000", "price": "0.7268", "quote_amount": "29.94416000", "quote_asset": "USDT", "signal_candle_close_time": 1789263299999, "reason": "strategy buy signal", "entry_conditions": {"rsi_recovered": false, "near_support": true, "trend_ok": true, "reward_ok": true, "stop_risk_ok": true, "momentum_ok": true}, "environment": "production", "recorded_at": 1789263332}</x:v>
      </x:c>
      <x:c r="X68" s="10" t="n">
        <x:v>0</x:v>
      </x:c>
      <x:c r="Y68" s="8" t="n">
        <x:v>46278.066342592596</x:v>
      </x:c>
      <x:c r="Z68" s="3" t="str">
        <x:v>2026-09-13</x:v>
      </x:c>
      <x:c r="AA68" s="3" t="str">
        <x:v>ACTIVE / MIXED</x:v>
      </x:c>
      <x:c r="AB68" s="8" t="n">
        <x:v>46278.182337962964</x:v>
      </x:c>
      <x:c r="AC68" s="10" t="n">
        <x:v>778</x:v>
      </x:c>
      <x:c r="AD68" s="3" t="str">
        <x:v>rsi_recovered</x:v>
      </x:c>
      <x:c r="AE68" s="3"/>
      <x:c r="AF68" s="9"/>
      <x:c r="AG68" s="3"/>
      <x:c r="AH68" s="9"/>
      <x:c r="AI68" s="9"/>
      <x:c r="AJ68" s="3"/>
      <x:c r="AK68" s="9"/>
      <x:c r="AL68" s="3"/>
      <x:c r="AM68" s="3"/>
    </x:row>
    <x:row r="69" ht="21" customHeight="1">
      <x:c r="A69" s="8" t="n">
        <x:v>46278.19451388889</x:v>
      </x:c>
      <x:c r="B69" s="3" t="str">
        <x:v>HOLOUSDT</x:v>
      </x:c>
      <x:c r="C69" s="3" t="str">
        <x:v>BUY</x:v>
      </x:c>
      <x:c r="D69" s="3" t="str">
        <x:v>168169831</x:v>
      </x:c>
      <x:c r="E69" s="9" t="n">
        <x:v>475.4</x:v>
      </x:c>
      <x:c r="F69" s="9" t="n">
        <x:v>0.0631</x:v>
      </x:c>
      <x:c r="G69" s="9" t="n">
        <x:v>29.99774</x:v>
      </x:c>
      <x:c r="H69" s="9"/>
      <x:c r="I69" s="3"/>
      <x:c r="J69" s="3" t="str">
        <x:v>gross only; actual fees not recorded</x:v>
      </x:c>
      <x:c r="K69" s="3" t="str">
        <x:v>strategy buy signal</x:v>
      </x:c>
      <x:c r="L69" s="3" t="str">
        <x:v>production</x:v>
      </x:c>
      <x:c r="M69" s="10" t="n">
        <x:v>687</x:v>
      </x:c>
      <x:c r="N69" s="3" t="str">
        <x:v>USDT</x:v>
      </x:c>
      <x:c r="O69" s="9" t="n">
        <x:v>1789263599999</x:v>
      </x:c>
      <x:c r="P69" s="4" t="b">
        <x:v>0</x:v>
      </x:c>
      <x:c r="Q69" s="4" t="b">
        <x:v>1</x:v>
      </x:c>
      <x:c r="R69" s="4" t="b">
        <x:v>1</x:v>
      </x:c>
      <x:c r="S69" s="4" t="b">
        <x:v>1</x:v>
      </x:c>
      <x:c r="T69" s="4" t="b">
        <x:v>1</x:v>
      </x:c>
      <x:c r="U69" s="4" t="b">
        <x:v>1</x:v>
      </x:c>
      <x:c r="V69" s="10" t="n">
        <x:v>1789263606</x:v>
      </x:c>
      <x:c r="W69" s="3" t="str">
        <x:v>{"side": "BUY", "symbol": "HOLOUSDT", "order_id": 168169831, "quantity": "475.40000000", "price": "0.0631", "quote_amount": "29.99774000", "quote_asset": "USDT", "signal_candle_close_time": 1789263599999, "reason": "strategy buy signal", "entry_conditions": {"rsi_recovered": false, "near_support": true, "trend_ok": true, "reward_ok": true, "stop_risk_ok": true, "momentum_ok": true}, "environment": "production", "recorded_at": 1789263606}</x:v>
      </x:c>
      <x:c r="X69" s="10" t="n">
        <x:v>0</x:v>
      </x:c>
      <x:c r="Y69" s="8" t="n">
        <x:v>46278.06951388889</x:v>
      </x:c>
      <x:c r="Z69" s="3" t="str">
        <x:v>2026-09-13</x:v>
      </x:c>
      <x:c r="AA69" s="3" t="str">
        <x:v>ACTIVE / MIXED</x:v>
      </x:c>
      <x:c r="AB69" s="8" t="n">
        <x:v>46278.193032407406</x:v>
      </x:c>
      <x:c r="AC69" s="10" t="n">
        <x:v>128</x:v>
      </x:c>
      <x:c r="AD69" s="3" t="str">
        <x:v>rsi_recovered</x:v>
      </x:c>
      <x:c r="AE69" s="3"/>
      <x:c r="AF69" s="9"/>
      <x:c r="AG69" s="3"/>
      <x:c r="AH69" s="9"/>
      <x:c r="AI69" s="9"/>
      <x:c r="AJ69" s="3"/>
      <x:c r="AK69" s="9"/>
      <x:c r="AL69" s="3"/>
      <x:c r="AM69" s="3"/>
    </x:row>
    <x:row r="70" ht="21" customHeight="1">
      <x:c r="A70" s="8" t="n">
        <x:v>46278.19819444444</x:v>
      </x:c>
      <x:c r="B70" s="3" t="str">
        <x:v>PEPEUSDT</x:v>
      </x:c>
      <x:c r="C70" s="3" t="str">
        <x:v>SELL</x:v>
      </x:c>
      <x:c r="D70" s="3" t="str">
        <x:v>5415402021</x:v>
      </x:c>
      <x:c r="E70" s="9" t="n">
        <x:v>8737609</x:v>
      </x:c>
      <x:c r="F70" s="9" t="n">
        <x:v>0.00000344</x:v>
      </x:c>
      <x:c r="G70" s="9" t="n">
        <x:v>30.05737496</x:v>
      </x:c>
      <x:c r="H70" s="9" t="n">
        <x:v>0.08737609</x:v>
      </x:c>
      <x:c r="I70" s="3"/>
      <x:c r="J70" s="3" t="str">
        <x:v>gross only; actual fees not recorded</x:v>
      </x:c>
      <x:c r="K70" s="3" t="str">
        <x:v>RSI sell signal</x:v>
      </x:c>
      <x:c r="L70" s="3" t="str">
        <x:v>production</x:v>
      </x:c>
      <x:c r="M70" s="10" t="n">
        <x:v>688</x:v>
      </x:c>
      <x:c r="N70" s="3" t="str">
        <x:v>USDT</x:v>
      </x:c>
      <x:c r="O70" s="9"/>
      <x:c r="P70" s="3"/>
      <x:c r="Q70" s="3"/>
      <x:c r="R70" s="3"/>
      <x:c r="S70" s="3"/>
      <x:c r="T70" s="3"/>
      <x:c r="U70" s="3"/>
      <x:c r="V70" s="10" t="n">
        <x:v>1789263924</x:v>
      </x:c>
      <x:c r="W70" s="3" t="str">
        <x:v>{"side": "SELL", "symbol": "PEPEUSDT", "order_id": 5415402021, "quantity": "8737609.00", "price": "0.00000344", "quote_amount": "30.05737496", "quote_asset": "USDT", "reason": "RSI sell signal", "estimated_pnl_usdt": "0.0873760900", "environment": "production", "recorded_at": 1789263924}</x:v>
      </x:c>
      <x:c r="X70" s="10" t="n">
        <x:v>0</x:v>
      </x:c>
      <x:c r="Y70" s="8" t="n">
        <x:v>46278.07319444444</x:v>
      </x:c>
      <x:c r="Z70" s="3" t="str">
        <x:v>2026-09-13</x:v>
      </x:c>
      <x:c r="AA70" s="3" t="str">
        <x:v>ACTIVE / MIXED</x:v>
      </x:c>
      <x:c r="AB70" s="8" t="n">
        <x:v>46278.193032407406</x:v>
      </x:c>
      <x:c r="AC70" s="10" t="n">
        <x:v>446</x:v>
      </x:c>
      <x:c r="AD70" s="3"/>
      <x:c r="AE70" s="3"/>
      <x:c r="AF70" s="9"/>
      <x:c r="AG70" s="3"/>
      <x:c r="AH70" s="9"/>
      <x:c r="AI70" s="9"/>
      <x:c r="AJ70" s="3"/>
      <x:c r="AK70" s="9"/>
      <x:c r="AL70" s="3"/>
      <x:c r="AM70" s="3"/>
    </x:row>
    <x:row r="71" ht="21" customHeight="1">
      <x:c r="A71" s="8" t="n">
        <x:v>46278.198229166665</x:v>
      </x:c>
      <x:c r="B71" s="3" t="str">
        <x:v>ADAUSDT</x:v>
      </x:c>
      <x:c r="C71" s="3" t="str">
        <x:v>BUY</x:v>
      </x:c>
      <x:c r="D71" s="3" t="str">
        <x:v>8786158929</x:v>
      </x:c>
      <x:c r="E71" s="9" t="n">
        <x:v>144.3</x:v>
      </x:c>
      <x:c r="F71" s="9" t="n">
        <x:v>0.2078</x:v>
      </x:c>
      <x:c r="G71" s="9" t="n">
        <x:v>29.98554</x:v>
      </x:c>
      <x:c r="H71" s="9"/>
      <x:c r="I71" s="3"/>
      <x:c r="J71" s="3" t="str">
        <x:v>gross only; actual fees not recorded</x:v>
      </x:c>
      <x:c r="K71" s="3" t="str">
        <x:v>strategy buy signal</x:v>
      </x:c>
      <x:c r="L71" s="3" t="str">
        <x:v>production</x:v>
      </x:c>
      <x:c r="M71" s="10" t="n">
        <x:v>689</x:v>
      </x:c>
      <x:c r="N71" s="3" t="str">
        <x:v>USDT</x:v>
      </x:c>
      <x:c r="O71" s="9" t="n">
        <x:v>1789263899999</x:v>
      </x:c>
      <x:c r="P71" s="4" t="b">
        <x:v>0</x:v>
      </x:c>
      <x:c r="Q71" s="4" t="b">
        <x:v>1</x:v>
      </x:c>
      <x:c r="R71" s="4" t="b">
        <x:v>1</x:v>
      </x:c>
      <x:c r="S71" s="4" t="b">
        <x:v>1</x:v>
      </x:c>
      <x:c r="T71" s="4" t="b">
        <x:v>1</x:v>
      </x:c>
      <x:c r="U71" s="4" t="b">
        <x:v>1</x:v>
      </x:c>
      <x:c r="V71" s="10" t="n">
        <x:v>1789263927</x:v>
      </x:c>
      <x:c r="W71" s="3" t="str">
        <x:v>{"side": "BUY", "symbol": "ADAUSDT", "order_id": 8786158929, "quantity": "144.30000000", "price": "0.2078", "quote_amount": "29.98554000", "quote_asset": "USDT", "signal_candle_close_time": 1789263899999, "reason": "strategy buy signal", "entry_conditions": {"rsi_recovered": false, "near_support": true, "trend_ok": true, "reward_ok": true, "stop_risk_ok": true, "momentum_ok": true}, "environment": "production", "recorded_at": 1789263927}</x:v>
      </x:c>
      <x:c r="X71" s="10" t="n">
        <x:v>0</x:v>
      </x:c>
      <x:c r="Y71" s="8" t="n">
        <x:v>46278.073229166665</x:v>
      </x:c>
      <x:c r="Z71" s="3" t="str">
        <x:v>2026-09-13</x:v>
      </x:c>
      <x:c r="AA71" s="3" t="str">
        <x:v>ACTIVE / MIXED</x:v>
      </x:c>
      <x:c r="AB71" s="8" t="n">
        <x:v>46278.193032407406</x:v>
      </x:c>
      <x:c r="AC71" s="10" t="n">
        <x:v>449</x:v>
      </x:c>
      <x:c r="AD71" s="3" t="str">
        <x:v>rsi_recovered</x:v>
      </x:c>
      <x:c r="AE71" s="3"/>
      <x:c r="AF71" s="9"/>
      <x:c r="AG71" s="3"/>
      <x:c r="AH71" s="9"/>
      <x:c r="AI71" s="9"/>
      <x:c r="AJ71" s="3"/>
      <x:c r="AK71" s="9"/>
      <x:c r="AL71" s="3"/>
      <x:c r="AM71" s="3"/>
    </x:row>
    <x:row r="72" ht="21" customHeight="1">
      <x:c r="A72" s="8" t="n">
        <x:v>46278.205046296294</x:v>
      </x:c>
      <x:c r="B72" s="3" t="str">
        <x:v>UNIUSDT</x:v>
      </x:c>
      <x:c r="C72" s="3" t="str">
        <x:v>BUY</x:v>
      </x:c>
      <x:c r="D72" s="3" t="str">
        <x:v>5334819158</x:v>
      </x:c>
      <x:c r="E72" s="9" t="n">
        <x:v>4.69</x:v>
      </x:c>
      <x:c r="F72" s="9" t="n">
        <x:v>6.387</x:v>
      </x:c>
      <x:c r="G72" s="9" t="n">
        <x:v>29.95503</x:v>
      </x:c>
      <x:c r="H72" s="9"/>
      <x:c r="I72" s="3"/>
      <x:c r="J72" s="3" t="str">
        <x:v>gross only; actual fees not recorded</x:v>
      </x:c>
      <x:c r="K72" s="3" t="str">
        <x:v>strategy buy signal</x:v>
      </x:c>
      <x:c r="L72" s="3" t="str">
        <x:v>production</x:v>
      </x:c>
      <x:c r="M72" s="10" t="n">
        <x:v>690</x:v>
      </x:c>
      <x:c r="N72" s="3" t="str">
        <x:v>USDT</x:v>
      </x:c>
      <x:c r="O72" s="9" t="n">
        <x:v>1789264499999</x:v>
      </x:c>
      <x:c r="P72" s="4" t="b">
        <x:v>1</x:v>
      </x:c>
      <x:c r="Q72" s="4" t="b">
        <x:v>1</x:v>
      </x:c>
      <x:c r="R72" s="4" t="b">
        <x:v>1</x:v>
      </x:c>
      <x:c r="S72" s="4" t="b">
        <x:v>1</x:v>
      </x:c>
      <x:c r="T72" s="4" t="b">
        <x:v>1</x:v>
      </x:c>
      <x:c r="U72" s="4" t="b">
        <x:v>0</x:v>
      </x:c>
      <x:c r="V72" s="10" t="n">
        <x:v>1789264516</x:v>
      </x:c>
      <x:c r="W72" s="3" t="str">
        <x:v>{"side": "BUY", "symbol": "UNIUSDT", "order_id": 5334819158, "quantity": "4.69000000", "price": "6.387", "quote_amount": "29.95503000", "quote_asset": "USDT", "signal_candle_close_time": 1789264499999, "reason": "strategy buy signal", "entry_conditions": {"rsi_recovered": true, "near_support": true, "trend_ok": true, "reward_ok": true, "stop_risk_ok": true, "momentum_ok": false}, "environment": "production", "recorded_at": 1789264516}</x:v>
      </x:c>
      <x:c r="X72" s="10" t="n">
        <x:v>0</x:v>
      </x:c>
      <x:c r="Y72" s="8" t="n">
        <x:v>46278.080046296294</x:v>
      </x:c>
      <x:c r="Z72" s="3" t="str">
        <x:v>2026-09-13</x:v>
      </x:c>
      <x:c r="AA72" s="3" t="str">
        <x:v>ACTIVE / MIXED</x:v>
      </x:c>
      <x:c r="AB72" s="8" t="n">
        <x:v>46278.20364583333</x:v>
      </x:c>
      <x:c r="AC72" s="10" t="n">
        <x:v>121</x:v>
      </x:c>
      <x:c r="AD72" s="3" t="str">
        <x:v>momentum_ok</x:v>
      </x:c>
      <x:c r="AE72" s="3"/>
      <x:c r="AF72" s="9"/>
      <x:c r="AG72" s="3"/>
      <x:c r="AH72" s="9"/>
      <x:c r="AI72" s="9"/>
      <x:c r="AJ72" s="3"/>
      <x:c r="AK72" s="9"/>
      <x:c r="AL72" s="3"/>
      <x:c r="AM72" s="3"/>
    </x:row>
    <x:row r="73" ht="21" customHeight="1">
      <x:c r="A73" s="8" t="n">
        <x:v>46278.208553240744</x:v>
      </x:c>
      <x:c r="B73" s="3" t="str">
        <x:v>HOLOUSDT</x:v>
      </x:c>
      <x:c r="C73" s="3" t="str">
        <x:v>SELL</x:v>
      </x:c>
      <x:c r="D73" s="3" t="str">
        <x:v>168172401</x:v>
      </x:c>
      <x:c r="E73" s="9" t="n">
        <x:v>475.4</x:v>
      </x:c>
      <x:c r="F73" s="9" t="n">
        <x:v>0.0633</x:v>
      </x:c>
      <x:c r="G73" s="9" t="n">
        <x:v>30.09282</x:v>
      </x:c>
      <x:c r="H73" s="9" t="n">
        <x:v>0.09508</x:v>
      </x:c>
      <x:c r="I73" s="3"/>
      <x:c r="J73" s="3" t="str">
        <x:v>gross only; actual fees not recorded</x:v>
      </x:c>
      <x:c r="K73" s="3" t="str">
        <x:v>RSI sell signal</x:v>
      </x:c>
      <x:c r="L73" s="3" t="str">
        <x:v>production</x:v>
      </x:c>
      <x:c r="M73" s="10" t="n">
        <x:v>691</x:v>
      </x:c>
      <x:c r="N73" s="3" t="str">
        <x:v>USDT</x:v>
      </x:c>
      <x:c r="O73" s="9"/>
      <x:c r="P73" s="3"/>
      <x:c r="Q73" s="3"/>
      <x:c r="R73" s="3"/>
      <x:c r="S73" s="3"/>
      <x:c r="T73" s="3"/>
      <x:c r="U73" s="3"/>
      <x:c r="V73" s="10" t="n">
        <x:v>1789264819</x:v>
      </x:c>
      <x:c r="W73" s="3" t="str">
        <x:v>{"side": "SELL", "symbol": "HOLOUSDT", "order_id": 168172401, "quantity": "475.40000000", "price": "0.0633", "quote_amount": "30.09282000", "quote_asset": "USDT", "reason": "RSI sell signal", "estimated_pnl_usdt": "0.095080000000", "environment": "production", "recorded_at": 1789264819}</x:v>
      </x:c>
      <x:c r="X73" s="10" t="n">
        <x:v>0</x:v>
      </x:c>
      <x:c r="Y73" s="8" t="n">
        <x:v>46278.083553240744</x:v>
      </x:c>
      <x:c r="Z73" s="3" t="str">
        <x:v>2026-09-13</x:v>
      </x:c>
      <x:c r="AA73" s="3" t="str">
        <x:v>ACTIVE / MIXED</x:v>
      </x:c>
      <x:c r="AB73" s="8" t="n">
        <x:v>46278.20364583333</x:v>
      </x:c>
      <x:c r="AC73" s="10" t="n">
        <x:v>424</x:v>
      </x:c>
      <x:c r="AD73" s="3"/>
      <x:c r="AE73" s="3"/>
      <x:c r="AF73" s="9"/>
      <x:c r="AG73" s="3"/>
      <x:c r="AH73" s="9"/>
      <x:c r="AI73" s="9"/>
      <x:c r="AJ73" s="3"/>
      <x:c r="AK73" s="9"/>
      <x:c r="AL73" s="3"/>
      <x:c r="AM73" s="3"/>
    </x:row>
    <x:row r="74" ht="21" customHeight="1">
      <x:c r="A74" s="8" t="n">
        <x:v>46278.23640046296</x:v>
      </x:c>
      <x:c r="B74" s="3" t="str">
        <x:v>NEARUSDT</x:v>
      </x:c>
      <x:c r="C74" s="3" t="str">
        <x:v>SELL</x:v>
      </x:c>
      <x:c r="D74" s="3" t="str">
        <x:v>5124338289</x:v>
      </x:c>
      <x:c r="E74" s="9" t="n">
        <x:v>12.6</x:v>
      </x:c>
      <x:c r="F74" s="9" t="n">
        <x:v>2.356</x:v>
      </x:c>
      <x:c r="G74" s="9" t="n">
        <x:v>29.6856</x:v>
      </x:c>
      <x:c r="H74" s="9" t="n">
        <x:v>-0.1512</x:v>
      </x:c>
      <x:c r="I74" s="3"/>
      <x:c r="J74" s="3" t="str">
        <x:v>gross only; actual fees not recorded</x:v>
      </x:c>
      <x:c r="K74" s="3" t="str">
        <x:v>stop loss</x:v>
      </x:c>
      <x:c r="L74" s="3" t="str">
        <x:v>production</x:v>
      </x:c>
      <x:c r="M74" s="10" t="n">
        <x:v>692</x:v>
      </x:c>
      <x:c r="N74" s="3" t="str">
        <x:v>USDT</x:v>
      </x:c>
      <x:c r="O74" s="9"/>
      <x:c r="P74" s="3"/>
      <x:c r="Q74" s="3"/>
      <x:c r="R74" s="3"/>
      <x:c r="S74" s="3"/>
      <x:c r="T74" s="3"/>
      <x:c r="U74" s="3"/>
      <x:c r="V74" s="10" t="n">
        <x:v>1789267225</x:v>
      </x:c>
      <x:c r="W74" s="3" t="str">
        <x:v>{"side": "SELL", "symbol": "NEARUSDT", "order_id": 5124338289, "quantity": "12.60000000", "price": "2.356", "quote_amount": "29.68560000", "quote_asset": "USDT", "reason": "stop loss", "estimated_pnl_usdt": "-0.15120000000", "environment": "production", "recorded_at": 1789267225}</x:v>
      </x:c>
      <x:c r="X74" s="10" t="n">
        <x:v>0</x:v>
      </x:c>
      <x:c r="Y74" s="8" t="n">
        <x:v>46278.11140046296</x:v>
      </x:c>
      <x:c r="Z74" s="3" t="str">
        <x:v>2026-09-13</x:v>
      </x:c>
      <x:c r="AA74" s="3" t="str">
        <x:v>ACTIVE / MIXED</x:v>
      </x:c>
      <x:c r="AB74" s="8" t="n">
        <x:v>46278.23568287037</x:v>
      </x:c>
      <x:c r="AC74" s="10" t="n">
        <x:v>62</x:v>
      </x:c>
      <x:c r="AD74" s="3"/>
      <x:c r="AE74" s="3"/>
      <x:c r="AF74" s="9"/>
      <x:c r="AG74" s="3"/>
      <x:c r="AH74" s="9"/>
      <x:c r="AI74" s="9"/>
      <x:c r="AJ74" s="3"/>
      <x:c r="AK74" s="9"/>
      <x:c r="AL74" s="3"/>
      <x:c r="AM74" s="3"/>
    </x:row>
    <x:row r="75" ht="21" customHeight="1">
      <x:c r="A75" s="8" t="n">
        <x:v>46278.23648148148</x:v>
      </x:c>
      <x:c r="B75" s="3" t="str">
        <x:v>BNBUSDT</x:v>
      </x:c>
      <x:c r="C75" s="3" t="str">
        <x:v>BUY</x:v>
      </x:c>
      <x:c r="D75" s="3" t="str">
        <x:v>12593957210</x:v>
      </x:c>
      <x:c r="E75" s="9" t="n">
        <x:v>0.041</x:v>
      </x:c>
      <x:c r="F75" s="9" t="n">
        <x:v>728.11</x:v>
      </x:c>
      <x:c r="G75" s="9" t="n">
        <x:v>29.85251</x:v>
      </x:c>
      <x:c r="H75" s="9"/>
      <x:c r="I75" s="3"/>
      <x:c r="J75" s="3" t="str">
        <x:v>gross only; actual fees not recorded</x:v>
      </x:c>
      <x:c r="K75" s="3" t="str">
        <x:v>strategy buy signal</x:v>
      </x:c>
      <x:c r="L75" s="3" t="str">
        <x:v>production</x:v>
      </x:c>
      <x:c r="M75" s="10" t="n">
        <x:v>693</x:v>
      </x:c>
      <x:c r="N75" s="3" t="str">
        <x:v>USDT</x:v>
      </x:c>
      <x:c r="O75" s="9" t="n">
        <x:v>1789267199999</x:v>
      </x:c>
      <x:c r="P75" s="4" t="b">
        <x:v>1</x:v>
      </x:c>
      <x:c r="Q75" s="4" t="b">
        <x:v>1</x:v>
      </x:c>
      <x:c r="R75" s="4" t="b">
        <x:v>1</x:v>
      </x:c>
      <x:c r="S75" s="4" t="b">
        <x:v>0</x:v>
      </x:c>
      <x:c r="T75" s="4" t="b">
        <x:v>1</x:v>
      </x:c>
      <x:c r="U75" s="4" t="b">
        <x:v>1</x:v>
      </x:c>
      <x:c r="V75" s="10" t="n">
        <x:v>1789267232</x:v>
      </x:c>
      <x:c r="W75" s="3" t="str">
        <x:v>{"side": "BUY", "symbol": "BNBUSDT", "order_id": 12593957210, "quantity": "0.04100000", "price": "728.11", "quote_amount": "29.85251000", "quote_asset": "USDT", "signal_candle_close_time": 1789267199999, "reason": "strategy buy signal", "entry_conditions": {"rsi_recovered": true, "near_support": true, "trend_ok": true, "reward_ok": false, "stop_risk_ok": true, "momentum_ok": true}, "environment": "production", "recorded_at": 1789267232}</x:v>
      </x:c>
      <x:c r="X75" s="10" t="n">
        <x:v>0</x:v>
      </x:c>
      <x:c r="Y75" s="8" t="n">
        <x:v>46278.11148148148</x:v>
      </x:c>
      <x:c r="Z75" s="3" t="str">
        <x:v>2026-09-13</x:v>
      </x:c>
      <x:c r="AA75" s="3" t="str">
        <x:v>ACTIVE / MIXED</x:v>
      </x:c>
      <x:c r="AB75" s="8" t="n">
        <x:v>46278.23568287037</x:v>
      </x:c>
      <x:c r="AC75" s="10" t="n">
        <x:v>69</x:v>
      </x:c>
      <x:c r="AD75" s="3" t="str">
        <x:v>reward_ok</x:v>
      </x:c>
      <x:c r="AE75" s="3"/>
      <x:c r="AF75" s="9"/>
      <x:c r="AG75" s="3"/>
      <x:c r="AH75" s="9"/>
      <x:c r="AI75" s="9"/>
      <x:c r="AJ75" s="3"/>
      <x:c r="AK75" s="9"/>
      <x:c r="AL75" s="3"/>
      <x:c r="AM75" s="3"/>
    </x:row>
    <x:row r="76" ht="21" customHeight="1">
      <x:c r="A76" s="8" t="n">
        <x:v>46278.239849537036</x:v>
      </x:c>
      <x:c r="B76" s="3" t="str">
        <x:v>ZECUSDT</x:v>
      </x:c>
      <x:c r="C76" s="3" t="str">
        <x:v>BUY</x:v>
      </x:c>
      <x:c r="D76" s="3" t="str">
        <x:v>6087236698</x:v>
      </x:c>
      <x:c r="E76" s="9" t="n">
        <x:v>0.026</x:v>
      </x:c>
      <x:c r="F76" s="9" t="n">
        <x:v>1126.73</x:v>
      </x:c>
      <x:c r="G76" s="9" t="n">
        <x:v>29.29498</x:v>
      </x:c>
      <x:c r="H76" s="9"/>
      <x:c r="I76" s="3"/>
      <x:c r="J76" s="3" t="str">
        <x:v>gross only; actual fees not recorded</x:v>
      </x:c>
      <x:c r="K76" s="3" t="str">
        <x:v>strategy buy signal</x:v>
      </x:c>
      <x:c r="L76" s="3" t="str">
        <x:v>production</x:v>
      </x:c>
      <x:c r="M76" s="10" t="n">
        <x:v>694</x:v>
      </x:c>
      <x:c r="N76" s="3" t="str">
        <x:v>USDT</x:v>
      </x:c>
      <x:c r="O76" s="9" t="n">
        <x:v>1789267499999</x:v>
      </x:c>
      <x:c r="P76" s="4" t="b">
        <x:v>0</x:v>
      </x:c>
      <x:c r="Q76" s="4" t="b">
        <x:v>1</x:v>
      </x:c>
      <x:c r="R76" s="4" t="b">
        <x:v>1</x:v>
      </x:c>
      <x:c r="S76" s="4" t="b">
        <x:v>1</x:v>
      </x:c>
      <x:c r="T76" s="4" t="b">
        <x:v>1</x:v>
      </x:c>
      <x:c r="U76" s="4" t="b">
        <x:v>1</x:v>
      </x:c>
      <x:c r="V76" s="10" t="n">
        <x:v>1789267523</x:v>
      </x:c>
      <x:c r="W76" s="3" t="str">
        <x:v>{"side": "BUY", "symbol": "ZECUSDT", "order_id": 6087236698, "quantity": "0.02600000", "price": "1126.73", "quote_amount": "29.29498000", "quote_asset": "USDT", "signal_candle_close_time": 1789267499999, "reason": "strategy buy signal", "entry_conditions": {"rsi_recovered": false, "near_support": true, "trend_ok": true, "reward_ok": true, "stop_risk_ok": true, "momentum_ok": true}, "environment": "production", "recorded_at": 1789267523}</x:v>
      </x:c>
      <x:c r="X76" s="10" t="n">
        <x:v>0</x:v>
      </x:c>
      <x:c r="Y76" s="8" t="n">
        <x:v>46278.114849537036</x:v>
      </x:c>
      <x:c r="Z76" s="3" t="str">
        <x:v>2026-09-13</x:v>
      </x:c>
      <x:c r="AA76" s="3" t="str">
        <x:v>ACTIVE / MIXED</x:v>
      </x:c>
      <x:c r="AB76" s="8" t="n">
        <x:v>46278.23568287037</x:v>
      </x:c>
      <x:c r="AC76" s="10" t="n">
        <x:v>360</x:v>
      </x:c>
      <x:c r="AD76" s="3" t="str">
        <x:v>rsi_recovered</x:v>
      </x:c>
      <x:c r="AE76" s="3"/>
      <x:c r="AF76" s="9"/>
      <x:c r="AG76" s="3"/>
      <x:c r="AH76" s="9"/>
      <x:c r="AI76" s="9"/>
      <x:c r="AJ76" s="3"/>
      <x:c r="AK76" s="9"/>
      <x:c r="AL76" s="3"/>
      <x:c r="AM76" s="3"/>
    </x:row>
    <x:row r="77" ht="21" customHeight="1">
      <x:c r="A77" s="8" t="n">
        <x:v>46278.24350694445</x:v>
      </x:c>
      <x:c r="B77" s="3" t="str">
        <x:v>UNIUSDT</x:v>
      </x:c>
      <x:c r="C77" s="3" t="str">
        <x:v>SELL</x:v>
      </x:c>
      <x:c r="D77" s="3" t="str">
        <x:v>5334884850</x:v>
      </x:c>
      <x:c r="E77" s="9" t="n">
        <x:v>4.69</x:v>
      </x:c>
      <x:c r="F77" s="9" t="n">
        <x:v>6.432</x:v>
      </x:c>
      <x:c r="G77" s="9" t="n">
        <x:v>30.16608</x:v>
      </x:c>
      <x:c r="H77" s="9" t="n">
        <x:v>0.21105</x:v>
      </x:c>
      <x:c r="I77" s="3"/>
      <x:c r="J77" s="3" t="str">
        <x:v>gross only; actual fees not recorded</x:v>
      </x:c>
      <x:c r="K77" s="3" t="str">
        <x:v>take profit</x:v>
      </x:c>
      <x:c r="L77" s="3" t="str">
        <x:v>production</x:v>
      </x:c>
      <x:c r="M77" s="10" t="n">
        <x:v>695</x:v>
      </x:c>
      <x:c r="N77" s="3" t="str">
        <x:v>USDT</x:v>
      </x:c>
      <x:c r="O77" s="9"/>
      <x:c r="P77" s="3"/>
      <x:c r="Q77" s="3"/>
      <x:c r="R77" s="3"/>
      <x:c r="S77" s="3"/>
      <x:c r="T77" s="3"/>
      <x:c r="U77" s="3"/>
      <x:c r="V77" s="10" t="n">
        <x:v>1789267839</x:v>
      </x:c>
      <x:c r="W77" s="3" t="str">
        <x:v>{"side": "SELL", "symbol": "UNIUSDT", "order_id": 5334884850, "quantity": "4.69000000", "price": "6.432", "quote_amount": "30.16608000", "quote_asset": "USDT", "reason": "take profit", "estimated_pnl_usdt": "0.21105000000", "environment": "production", "recorded_at": 1789267839}</x:v>
      </x:c>
      <x:c r="X77" s="10" t="n">
        <x:v>0</x:v>
      </x:c>
      <x:c r="Y77" s="8" t="n">
        <x:v>46278.11850694445</x:v>
      </x:c>
      <x:c r="Z77" s="3" t="str">
        <x:v>2026-09-13</x:v>
      </x:c>
      <x:c r="AA77" s="3" t="str">
        <x:v>ACTIVE / MIXED</x:v>
      </x:c>
      <x:c r="AB77" s="8" t="n">
        <x:v>46278.23568287037</x:v>
      </x:c>
      <x:c r="AC77" s="10" t="n">
        <x:v>676</x:v>
      </x:c>
      <x:c r="AD77" s="3"/>
      <x:c r="AE77" s="3"/>
      <x:c r="AF77" s="9"/>
      <x:c r="AG77" s="3"/>
      <x:c r="AH77" s="9"/>
      <x:c r="AI77" s="9"/>
      <x:c r="AJ77" s="3"/>
      <x:c r="AK77" s="9"/>
      <x:c r="AL77" s="3"/>
      <x:c r="AM77" s="3"/>
    </x:row>
    <x:row r="78" ht="21" customHeight="1">
      <x:c r="A78" s="8" t="n">
        <x:v>46278.26495370371</x:v>
      </x:c>
      <x:c r="B78" s="3" t="str">
        <x:v>ZECUSDT</x:v>
      </x:c>
      <x:c r="C78" s="3" t="str">
        <x:v>SELL</x:v>
      </x:c>
      <x:c r="D78" s="3" t="str">
        <x:v>6087375666</x:v>
      </x:c>
      <x:c r="E78" s="9" t="n">
        <x:v>0.026</x:v>
      </x:c>
      <x:c r="F78" s="9" t="n">
        <x:v>1133.03</x:v>
      </x:c>
      <x:c r="G78" s="9" t="n">
        <x:v>29.45878</x:v>
      </x:c>
      <x:c r="H78" s="9" t="n">
        <x:v>0.1638</x:v>
      </x:c>
      <x:c r="I78" s="3"/>
      <x:c r="J78" s="3" t="str">
        <x:v>gross only; actual fees not recorded</x:v>
      </x:c>
      <x:c r="K78" s="3" t="str">
        <x:v>take profit</x:v>
      </x:c>
      <x:c r="L78" s="3" t="str">
        <x:v>production</x:v>
      </x:c>
      <x:c r="M78" s="10" t="n">
        <x:v>696</x:v>
      </x:c>
      <x:c r="N78" s="3" t="str">
        <x:v>USDT</x:v>
      </x:c>
      <x:c r="O78" s="9"/>
      <x:c r="P78" s="3"/>
      <x:c r="Q78" s="3"/>
      <x:c r="R78" s="3"/>
      <x:c r="S78" s="3"/>
      <x:c r="T78" s="3"/>
      <x:c r="U78" s="3"/>
      <x:c r="V78" s="10" t="n">
        <x:v>1789269692</x:v>
      </x:c>
      <x:c r="W78" s="3" t="str">
        <x:v>{"side": "SELL", "symbol": "ZECUSDT", "order_id": 6087375666, "quantity": "0.02600000", "price": "1133.03", "quote_amount": "29.45878000", "quote_asset": "USDT", "reason": "take profit", "estimated_pnl_usdt": "0.1638000000", "environment": "production", "recorded_at": 1789269692}</x:v>
      </x:c>
      <x:c r="X78" s="10" t="n">
        <x:v>0</x:v>
      </x:c>
      <x:c r="Y78" s="8" t="n">
        <x:v>46278.13995370371</x:v>
      </x:c>
      <x:c r="Z78" s="3" t="str">
        <x:v>2026-09-13</x:v>
      </x:c>
      <x:c r="AA78" s="3" t="str">
        <x:v>ACTIVE / MIXED</x:v>
      </x:c>
      <x:c r="AB78" s="8" t="n">
        <x:v>46278.25677083333</x:v>
      </x:c>
      <x:c r="AC78" s="10" t="n">
        <x:v>707</x:v>
      </x:c>
      <x:c r="AD78" s="3"/>
      <x:c r="AE78" s="3"/>
      <x:c r="AF78" s="9"/>
      <x:c r="AG78" s="3"/>
      <x:c r="AH78" s="9"/>
      <x:c r="AI78" s="9"/>
      <x:c r="AJ78" s="3"/>
      <x:c r="AK78" s="9"/>
      <x:c r="AL78" s="3"/>
      <x:c r="AM78" s="3"/>
    </x:row>
    <x:row r="79" ht="21" customHeight="1">
      <x:c r="A79" s="8" t="n">
        <x:v>46278.27099537037</x:v>
      </x:c>
      <x:c r="B79" s="3" t="str">
        <x:v>SUIUSDT</x:v>
      </x:c>
      <x:c r="C79" s="3" t="str">
        <x:v>SELL</x:v>
      </x:c>
      <x:c r="D79" s="3" t="str">
        <x:v>8849123990</x:v>
      </x:c>
      <x:c r="E79" s="9" t="n">
        <x:v>41.2</x:v>
      </x:c>
      <x:c r="F79" s="9" t="n">
        <x:v>0.7226</x:v>
      </x:c>
      <x:c r="G79" s="9" t="n">
        <x:v>29.77112</x:v>
      </x:c>
      <x:c r="H79" s="9" t="n">
        <x:v>-0.17304</x:v>
      </x:c>
      <x:c r="I79" s="3"/>
      <x:c r="J79" s="3" t="str">
        <x:v>gross only; actual fees not recorded</x:v>
      </x:c>
      <x:c r="K79" s="3" t="str">
        <x:v>stop loss</x:v>
      </x:c>
      <x:c r="L79" s="3" t="str">
        <x:v>production</x:v>
      </x:c>
      <x:c r="M79" s="10" t="n">
        <x:v>697</x:v>
      </x:c>
      <x:c r="N79" s="3" t="str">
        <x:v>USDT</x:v>
      </x:c>
      <x:c r="O79" s="9"/>
      <x:c r="P79" s="3"/>
      <x:c r="Q79" s="3"/>
      <x:c r="R79" s="3"/>
      <x:c r="S79" s="3"/>
      <x:c r="T79" s="3"/>
      <x:c r="U79" s="3"/>
      <x:c r="V79" s="10" t="n">
        <x:v>1789270214</x:v>
      </x:c>
      <x:c r="W79" s="3" t="str">
        <x:v>{"side": "SELL", "symbol": "SUIUSDT", "order_id": 8849123990, "quantity": "41.20000000", "price": "0.7226", "quote_amount": "29.77112000", "quote_asset": "USDT", "reason": "stop loss", "estimated_pnl_usdt": "-0.173040000000", "environment": "production", "recorded_at": 1789270214}</x:v>
      </x:c>
      <x:c r="X79" s="10" t="n">
        <x:v>0</x:v>
      </x:c>
      <x:c r="Y79" s="8" t="n">
        <x:v>46278.14599537037</x:v>
      </x:c>
      <x:c r="Z79" s="3" t="str">
        <x:v>2026-09-13</x:v>
      </x:c>
      <x:c r="AA79" s="3" t="str">
        <x:v>ACTIVE / MIXED</x:v>
      </x:c>
      <x:c r="AB79" s="8" t="n">
        <x:v>46278.267488425925</x:v>
      </x:c>
      <x:c r="AC79" s="10" t="n">
        <x:v>303</x:v>
      </x:c>
      <x:c r="AD79" s="3"/>
      <x:c r="AE79" s="3"/>
      <x:c r="AF79" s="9"/>
      <x:c r="AG79" s="3"/>
      <x:c r="AH79" s="9"/>
      <x:c r="AI79" s="9"/>
      <x:c r="AJ79" s="3"/>
      <x:c r="AK79" s="9"/>
      <x:c r="AL79" s="3"/>
      <x:c r="AM79" s="3"/>
    </x:row>
    <x:row r="80" ht="21" customHeight="1">
      <x:c r="A80" s="8" t="n">
        <x:v>46278.28487268519</x:v>
      </x:c>
      <x:c r="B80" s="3" t="str">
        <x:v>ADAUSDT</x:v>
      </x:c>
      <x:c r="C80" s="3" t="str">
        <x:v>SELL</x:v>
      </x:c>
      <x:c r="D80" s="3" t="str">
        <x:v>8786192414</x:v>
      </x:c>
      <x:c r="E80" s="9" t="n">
        <x:v>144.3</x:v>
      </x:c>
      <x:c r="F80" s="9" t="n">
        <x:v>0.2068</x:v>
      </x:c>
      <x:c r="G80" s="9" t="n">
        <x:v>29.84124</x:v>
      </x:c>
      <x:c r="H80" s="9" t="n">
        <x:v>-0.1443</x:v>
      </x:c>
      <x:c r="I80" s="3"/>
      <x:c r="J80" s="3" t="str">
        <x:v>gross only; actual fees not recorded</x:v>
      </x:c>
      <x:c r="K80" s="3" t="str">
        <x:v>stop loss</x:v>
      </x:c>
      <x:c r="L80" s="3" t="str">
        <x:v>production</x:v>
      </x:c>
      <x:c r="M80" s="10" t="n">
        <x:v>698</x:v>
      </x:c>
      <x:c r="N80" s="3" t="str">
        <x:v>USDT</x:v>
      </x:c>
      <x:c r="O80" s="9"/>
      <x:c r="P80" s="3"/>
      <x:c r="Q80" s="3"/>
      <x:c r="R80" s="3"/>
      <x:c r="S80" s="3"/>
      <x:c r="T80" s="3"/>
      <x:c r="U80" s="3"/>
      <x:c r="V80" s="10" t="n">
        <x:v>1789271413</x:v>
      </x:c>
      <x:c r="W80" s="3" t="str">
        <x:v>{"side": "SELL", "symbol": "ADAUSDT", "order_id": 8786192414, "quantity": "144.30000000", "price": "0.2068", "quote_amount": "29.84124000", "quote_asset": "USDT", "reason": "stop loss", "estimated_pnl_usdt": "-0.144300000000", "environment": "production", "recorded_at": 1789271413}</x:v>
      </x:c>
      <x:c r="X80" s="10" t="n">
        <x:v>0</x:v>
      </x:c>
      <x:c r="Y80" s="8" t="n">
        <x:v>46278.15987268519</x:v>
      </x:c>
      <x:c r="Z80" s="3" t="str">
        <x:v>2026-09-13</x:v>
      </x:c>
      <x:c r="AA80" s="3" t="str">
        <x:v>ACTIVE / MIXED</x:v>
      </x:c>
      <x:c r="AB80" s="8" t="n">
        <x:v>46278.27820601852</x:v>
      </x:c>
      <x:c r="AC80" s="10" t="n">
        <x:v>576</x:v>
      </x:c>
      <x:c r="AD80" s="3"/>
      <x:c r="AE80" s="3"/>
      <x:c r="AF80" s="9"/>
      <x:c r="AG80" s="3"/>
      <x:c r="AH80" s="9"/>
      <x:c r="AI80" s="9"/>
      <x:c r="AJ80" s="3"/>
      <x:c r="AK80" s="9"/>
      <x:c r="AL80" s="3"/>
      <x:c r="AM80" s="3"/>
    </x:row>
    <x:row r="81" ht="21" customHeight="1">
      <x:c r="A81" s="8" t="n">
        <x:v>46278.284895833334</x:v>
      </x:c>
      <x:c r="B81" s="3" t="str">
        <x:v>BNBUSDT</x:v>
      </x:c>
      <x:c r="C81" s="3" t="str">
        <x:v>SELL</x:v>
      </x:c>
      <x:c r="D81" s="3" t="str">
        <x:v>12594080888</x:v>
      </x:c>
      <x:c r="E81" s="9" t="n">
        <x:v>0.041</x:v>
      </x:c>
      <x:c r="F81" s="9" t="n">
        <x:v>727.2</x:v>
      </x:c>
      <x:c r="G81" s="9" t="n">
        <x:v>29.8152</x:v>
      </x:c>
      <x:c r="H81" s="9" t="n">
        <x:v>-0.03731</x:v>
      </x:c>
      <x:c r="I81" s="3"/>
      <x:c r="J81" s="3" t="str">
        <x:v>gross only; actual fees not recorded</x:v>
      </x:c>
      <x:c r="K81" s="3" t="str">
        <x:v>stop loss</x:v>
      </x:c>
      <x:c r="L81" s="3" t="str">
        <x:v>production</x:v>
      </x:c>
      <x:c r="M81" s="10" t="n">
        <x:v>699</x:v>
      </x:c>
      <x:c r="N81" s="3" t="str">
        <x:v>USDT</x:v>
      </x:c>
      <x:c r="O81" s="9"/>
      <x:c r="P81" s="3"/>
      <x:c r="Q81" s="3"/>
      <x:c r="R81" s="3"/>
      <x:c r="S81" s="3"/>
      <x:c r="T81" s="3"/>
      <x:c r="U81" s="3"/>
      <x:c r="V81" s="10" t="n">
        <x:v>1789271415</x:v>
      </x:c>
      <x:c r="W81" s="3" t="str">
        <x:v>{"side": "SELL", "symbol": "BNBUSDT", "order_id": 12594080888, "quantity": "0.04100000", "price": "727.2", "quote_amount": "29.81520000", "quote_asset": "USDT", "reason": "stop loss", "estimated_pnl_usdt": "-0.0373100000", "environment": "production", "recorded_at": 1789271415}</x:v>
      </x:c>
      <x:c r="X81" s="10" t="n">
        <x:v>0</x:v>
      </x:c>
      <x:c r="Y81" s="8" t="n">
        <x:v>46278.159895833334</x:v>
      </x:c>
      <x:c r="Z81" s="3" t="str">
        <x:v>2026-09-13</x:v>
      </x:c>
      <x:c r="AA81" s="3" t="str">
        <x:v>ACTIVE / MIXED</x:v>
      </x:c>
      <x:c r="AB81" s="8" t="n">
        <x:v>46278.27820601852</x:v>
      </x:c>
      <x:c r="AC81" s="10" t="n">
        <x:v>578</x:v>
      </x:c>
      <x:c r="AD81" s="3"/>
      <x:c r="AE81" s="3"/>
      <x:c r="AF81" s="9"/>
      <x:c r="AG81" s="3"/>
      <x:c r="AH81" s="9"/>
      <x:c r="AI81" s="9"/>
      <x:c r="AJ81" s="3"/>
      <x:c r="AK81" s="9"/>
      <x:c r="AL81" s="3"/>
      <x:c r="AM81" s="3"/>
    </x:row>
    <x:row r="82" ht="21" customHeight="1">
      <x:c r="A82" s="8" t="n">
        <x:v>46278.31945601852</x:v>
      </x:c>
      <x:c r="B82" s="3" t="str">
        <x:v>WLFIUSDT</x:v>
      </x:c>
      <x:c r="C82" s="3" t="str">
        <x:v>BUY</x:v>
      </x:c>
      <x:c r="D82" s="3" t="str">
        <x:v>467183888</x:v>
      </x:c>
      <x:c r="E82" s="9" t="n">
        <x:v>524.4</x:v>
      </x:c>
      <x:c r="F82" s="9" t="n">
        <x:v>0.0572</x:v>
      </x:c>
      <x:c r="G82" s="9" t="n">
        <x:v>29.99568</x:v>
      </x:c>
      <x:c r="H82" s="9"/>
      <x:c r="I82" s="3"/>
      <x:c r="J82" s="3" t="str">
        <x:v>gross only; actual fees not recorded</x:v>
      </x:c>
      <x:c r="K82" s="3" t="str">
        <x:v>strategy buy signal</x:v>
      </x:c>
      <x:c r="L82" s="3" t="str">
        <x:v>production</x:v>
      </x:c>
      <x:c r="M82" s="10" t="n">
        <x:v>700</x:v>
      </x:c>
      <x:c r="N82" s="3" t="str">
        <x:v>USDT</x:v>
      </x:c>
      <x:c r="O82" s="9" t="n">
        <x:v>1789274399999</x:v>
      </x:c>
      <x:c r="P82" s="4" t="b">
        <x:v>0</x:v>
      </x:c>
      <x:c r="Q82" s="4" t="b">
        <x:v>1</x:v>
      </x:c>
      <x:c r="R82" s="4" t="b">
        <x:v>1</x:v>
      </x:c>
      <x:c r="S82" s="4" t="b">
        <x:v>1</x:v>
      </x:c>
      <x:c r="T82" s="4" t="b">
        <x:v>1</x:v>
      </x:c>
      <x:c r="U82" s="4" t="b">
        <x:v>1</x:v>
      </x:c>
      <x:c r="V82" s="10" t="n">
        <x:v>1789274401</x:v>
      </x:c>
      <x:c r="W82" s="3" t="str">
        <x:v>{"side": "BUY", "symbol": "WLFIUSDT", "order_id": 467183888, "quantity": "524.40", "price": "0.057200", "quote_amount": "29.99568000", "quote_asset": "USDT", "signal_candle_close_time": 1789274399999, "reason": "strategy buy signal", "entry_conditions": {"rsi_recovered": false, "near_support": true, "trend_ok": true, "reward_ok": true, "stop_risk_ok": true, "momentum_ok": true}, "environment": "production", "recorded_at": 1789274401}</x:v>
      </x:c>
      <x:c r="X82" s="10" t="n">
        <x:v>0</x:v>
      </x:c>
      <x:c r="Y82" s="8" t="n">
        <x:v>46278.19445601852</x:v>
      </x:c>
      <x:c r="Z82" s="3" t="str">
        <x:v>2026-09-13</x:v>
      </x:c>
      <x:c r="AA82" s="3" t="str">
        <x:v>ACTIVE / MIXED</x:v>
      </x:c>
      <x:c r="AB82" s="8" t="n">
        <x:v>46278.30991898148</x:v>
      </x:c>
      <x:c r="AC82" s="10" t="n">
        <x:v>824</x:v>
      </x:c>
      <x:c r="AD82" s="3" t="str">
        <x:v>rsi_recovered</x:v>
      </x:c>
      <x:c r="AE82" s="3"/>
      <x:c r="AF82" s="9"/>
      <x:c r="AG82" s="3"/>
      <x:c r="AH82" s="9"/>
      <x:c r="AI82" s="9"/>
      <x:c r="AJ82" s="3"/>
      <x:c r="AK82" s="9"/>
      <x:c r="AL82" s="3"/>
      <x:c r="AM82" s="3"/>
    </x:row>
    <x:row r="83" ht="21" customHeight="1">
      <x:c r="A83" s="8" t="n">
        <x:v>46278.32690972222</x:v>
      </x:c>
      <x:c r="B83" s="3" t="str">
        <x:v>WLFIUSDT</x:v>
      </x:c>
      <x:c r="C83" s="3" t="str">
        <x:v>SELL</x:v>
      </x:c>
      <x:c r="D83" s="3" t="str">
        <x:v>467189510</x:v>
      </x:c>
      <x:c r="E83" s="9" t="n">
        <x:v>524.4</x:v>
      </x:c>
      <x:c r="F83" s="9" t="n">
        <x:v>0.0575</x:v>
      </x:c>
      <x:c r="G83" s="9" t="n">
        <x:v>30.153</x:v>
      </x:c>
      <x:c r="H83" s="9" t="n">
        <x:v>0.15732</x:v>
      </x:c>
      <x:c r="I83" s="3"/>
      <x:c r="J83" s="3" t="str">
        <x:v>gross only; actual fees not recorded</x:v>
      </x:c>
      <x:c r="K83" s="3" t="str">
        <x:v>take profit</x:v>
      </x:c>
      <x:c r="L83" s="3" t="str">
        <x:v>production</x:v>
      </x:c>
      <x:c r="M83" s="10" t="n">
        <x:v>701</x:v>
      </x:c>
      <x:c r="N83" s="3" t="str">
        <x:v>USDT</x:v>
      </x:c>
      <x:c r="O83" s="9"/>
      <x:c r="P83" s="3"/>
      <x:c r="Q83" s="3"/>
      <x:c r="R83" s="3"/>
      <x:c r="S83" s="3"/>
      <x:c r="T83" s="3"/>
      <x:c r="U83" s="3"/>
      <x:c r="V83" s="10" t="n">
        <x:v>1789275045</x:v>
      </x:c>
      <x:c r="W83" s="3" t="str">
        <x:v>{"side": "SELL", "symbol": "WLFIUSDT", "order_id": 467189510, "quantity": "524.40", "price": "0.057500", "quote_amount": "30.15300000", "quote_asset": "USDT", "reason": "take profit", "estimated_pnl_usdt": "0.15732000", "environment": "production", "recorded_at": 1789275045}</x:v>
      </x:c>
      <x:c r="X83" s="10" t="n">
        <x:v>0</x:v>
      </x:c>
      <x:c r="Y83" s="8" t="n">
        <x:v>46278.20190972222</x:v>
      </x:c>
      <x:c r="Z83" s="3" t="str">
        <x:v>2026-09-13</x:v>
      </x:c>
      <x:c r="AA83" s="3" t="str">
        <x:v>ACTIVE / MIXED</x:v>
      </x:c>
      <x:c r="AB83" s="8" t="n">
        <x:v>46278.32041666667</x:v>
      </x:c>
      <x:c r="AC83" s="10" t="n">
        <x:v>561</x:v>
      </x:c>
      <x:c r="AD83" s="3"/>
      <x:c r="AE83" s="3"/>
      <x:c r="AF83" s="9"/>
      <x:c r="AG83" s="3"/>
      <x:c r="AH83" s="9"/>
      <x:c r="AI83" s="9"/>
      <x:c r="AJ83" s="3"/>
      <x:c r="AK83" s="9"/>
      <x:c r="AL83" s="3"/>
      <x:c r="AM83" s="3"/>
    </x:row>
    <x:row r="84" ht="21" customHeight="1">
      <x:c r="A84" s="8" t="n">
        <x:v>46278.3371875</x:v>
      </x:c>
      <x:c r="B84" s="3" t="str">
        <x:v>ADAUSDT</x:v>
      </x:c>
      <x:c r="C84" s="3" t="str">
        <x:v>BUY</x:v>
      </x:c>
      <x:c r="D84" s="3" t="str">
        <x:v>8786213200</x:v>
      </x:c>
      <x:c r="E84" s="9" t="n">
        <x:v>144.6</x:v>
      </x:c>
      <x:c r="F84" s="9" t="n">
        <x:v>0.2074</x:v>
      </x:c>
      <x:c r="G84" s="9" t="n">
        <x:v>29.99004</x:v>
      </x:c>
      <x:c r="H84" s="9"/>
      <x:c r="I84" s="3"/>
      <x:c r="J84" s="3" t="str">
        <x:v>gross only; actual fees not recorded</x:v>
      </x:c>
      <x:c r="K84" s="3" t="str">
        <x:v>strategy buy signal</x:v>
      </x:c>
      <x:c r="L84" s="3" t="str">
        <x:v>production</x:v>
      </x:c>
      <x:c r="M84" s="10" t="n">
        <x:v>702</x:v>
      </x:c>
      <x:c r="N84" s="3" t="str">
        <x:v>USDT</x:v>
      </x:c>
      <x:c r="O84" s="9" t="n">
        <x:v>1789275899999</x:v>
      </x:c>
      <x:c r="P84" s="4" t="b">
        <x:v>0</x:v>
      </x:c>
      <x:c r="Q84" s="4" t="b">
        <x:v>1</x:v>
      </x:c>
      <x:c r="R84" s="4" t="b">
        <x:v>1</x:v>
      </x:c>
      <x:c r="S84" s="4" t="b">
        <x:v>1</x:v>
      </x:c>
      <x:c r="T84" s="4" t="b">
        <x:v>1</x:v>
      </x:c>
      <x:c r="U84" s="4" t="b">
        <x:v>1</x:v>
      </x:c>
      <x:c r="V84" s="10" t="n">
        <x:v>1789275933</x:v>
      </x:c>
      <x:c r="W84" s="3" t="str">
        <x:v>{"side": "BUY", "symbol": "ADAUSDT", "order_id": 8786213200, "quantity": "144.60000000", "price": "0.2074", "quote_amount": "29.99004000", "quote_asset": "USDT", "signal_candle_close_time": 1789275899999, "reason": "strategy buy signal", "entry_conditions": {"rsi_recovered": false, "near_support": true, "trend_ok": true, "reward_ok": true, "stop_risk_ok": true, "momentum_ok": true}, "environment": "production", "recorded_at": 1789275933}</x:v>
      </x:c>
      <x:c r="X84" s="10" t="n">
        <x:v>0</x:v>
      </x:c>
      <x:c r="Y84" s="8" t="n">
        <x:v>46278.2121875</x:v>
      </x:c>
      <x:c r="Z84" s="3" t="str">
        <x:v>2026-09-13</x:v>
      </x:c>
      <x:c r="AA84" s="3" t="str">
        <x:v>ACTIVE / MIXED</x:v>
      </x:c>
      <x:c r="AB84" s="8" t="n">
        <x:v>46278.33122685185</x:v>
      </x:c>
      <x:c r="AC84" s="10" t="n">
        <x:v>515</x:v>
      </x:c>
      <x:c r="AD84" s="3" t="str">
        <x:v>rsi_recovered</x:v>
      </x:c>
      <x:c r="AE84" s="3"/>
      <x:c r="AF84" s="9"/>
      <x:c r="AG84" s="3"/>
      <x:c r="AH84" s="9"/>
      <x:c r="AI84" s="9"/>
      <x:c r="AJ84" s="3"/>
      <x:c r="AK84" s="9"/>
      <x:c r="AL84" s="3"/>
      <x:c r="AM84" s="3"/>
    </x:row>
    <x:row r="85" ht="21" customHeight="1">
      <x:c r="A85" s="8" t="n">
        <x:v>46278.34741898148</x:v>
      </x:c>
      <x:c r="B85" s="3" t="str">
        <x:v>WLDUSDT</x:v>
      </x:c>
      <x:c r="C85" s="3" t="str">
        <x:v>BUY</x:v>
      </x:c>
      <x:c r="D85" s="3" t="str">
        <x:v>4151821017</x:v>
      </x:c>
      <x:c r="E85" s="9" t="n">
        <x:v>75.5</x:v>
      </x:c>
      <x:c r="F85" s="9" t="n">
        <x:v>0.3973</x:v>
      </x:c>
      <x:c r="G85" s="9" t="n">
        <x:v>29.99615</x:v>
      </x:c>
      <x:c r="H85" s="9"/>
      <x:c r="I85" s="3"/>
      <x:c r="J85" s="3" t="str">
        <x:v>gross only; actual fees not recorded</x:v>
      </x:c>
      <x:c r="K85" s="3" t="str">
        <x:v>strategy buy signal</x:v>
      </x:c>
      <x:c r="L85" s="3" t="str">
        <x:v>production</x:v>
      </x:c>
      <x:c r="M85" s="10" t="n">
        <x:v>703</x:v>
      </x:c>
      <x:c r="N85" s="3" t="str">
        <x:v>USDT</x:v>
      </x:c>
      <x:c r="O85" s="9" t="n">
        <x:v>1789276799999</x:v>
      </x:c>
      <x:c r="P85" s="4" t="b">
        <x:v>0</x:v>
      </x:c>
      <x:c r="Q85" s="4" t="b">
        <x:v>1</x:v>
      </x:c>
      <x:c r="R85" s="4" t="b">
        <x:v>1</x:v>
      </x:c>
      <x:c r="S85" s="4" t="b">
        <x:v>1</x:v>
      </x:c>
      <x:c r="T85" s="4" t="b">
        <x:v>1</x:v>
      </x:c>
      <x:c r="U85" s="4" t="b">
        <x:v>1</x:v>
      </x:c>
      <x:c r="V85" s="10" t="n">
        <x:v>1789276817</x:v>
      </x:c>
      <x:c r="W85" s="3" t="str">
        <x:v>{"side": "BUY", "symbol": "WLDUSDT", "order_id": 4151821017, "quantity": "75.50000000", "price": "0.3973", "quote_amount": "29.99615000", "quote_asset": "USDT", "signal_candle_close_time": 1789276799999, "reason": "strategy buy signal", "entry_conditions": {"rsi_recovered": false, "near_support": true, "trend_ok": true, "reward_ok": true, "stop_risk_ok": true, "momentum_ok": true}, "environment": "production", "recorded_at": 1789276817}</x:v>
      </x:c>
      <x:c r="X85" s="10" t="n">
        <x:v>0</x:v>
      </x:c>
      <x:c r="Y85" s="8" t="n">
        <x:v>46278.22241898148</x:v>
      </x:c>
      <x:c r="Z85" s="3" t="str">
        <x:v>2026-09-13</x:v>
      </x:c>
      <x:c r="AA85" s="3" t="str">
        <x:v>ACTIVE / MIXED</x:v>
      </x:c>
      <x:c r="AB85" s="8" t="n">
        <x:v>46278.34197916667</x:v>
      </x:c>
      <x:c r="AC85" s="10" t="n">
        <x:v>470</x:v>
      </x:c>
      <x:c r="AD85" s="3" t="str">
        <x:v>rsi_recovered</x:v>
      </x:c>
      <x:c r="AE85" s="3"/>
      <x:c r="AF85" s="9"/>
      <x:c r="AG85" s="3"/>
      <x:c r="AH85" s="9"/>
      <x:c r="AI85" s="9"/>
      <x:c r="AJ85" s="3"/>
      <x:c r="AK85" s="9"/>
      <x:c r="AL85" s="3"/>
      <x:c r="AM85" s="3"/>
    </x:row>
    <x:row r="86" ht="21" customHeight="1">
      <x:c r="A86" s="8" t="n">
        <x:v>46278.35089120371</x:v>
      </x:c>
      <x:c r="B86" s="3" t="str">
        <x:v>SUIUSDT</x:v>
      </x:c>
      <x:c r="C86" s="3" t="str">
        <x:v>BUY</x:v>
      </x:c>
      <x:c r="D86" s="3" t="str">
        <x:v>8849213806</x:v>
      </x:c>
      <x:c r="E86" s="9" t="n">
        <x:v>41.3</x:v>
      </x:c>
      <x:c r="F86" s="9" t="n">
        <x:v>0.7248</x:v>
      </x:c>
      <x:c r="G86" s="9" t="n">
        <x:v>29.93424</x:v>
      </x:c>
      <x:c r="H86" s="9"/>
      <x:c r="I86" s="3"/>
      <x:c r="J86" s="3" t="str">
        <x:v>gross only; actual fees not recorded</x:v>
      </x:c>
      <x:c r="K86" s="3" t="str">
        <x:v>strategy buy signal</x:v>
      </x:c>
      <x:c r="L86" s="3" t="str">
        <x:v>production</x:v>
      </x:c>
      <x:c r="M86" s="10" t="n">
        <x:v>704</x:v>
      </x:c>
      <x:c r="N86" s="3" t="str">
        <x:v>USDT</x:v>
      </x:c>
      <x:c r="O86" s="9" t="n">
        <x:v>1789277099999</x:v>
      </x:c>
      <x:c r="P86" s="4" t="b">
        <x:v>0</x:v>
      </x:c>
      <x:c r="Q86" s="4" t="b">
        <x:v>1</x:v>
      </x:c>
      <x:c r="R86" s="4" t="b">
        <x:v>1</x:v>
      </x:c>
      <x:c r="S86" s="4" t="b">
        <x:v>1</x:v>
      </x:c>
      <x:c r="T86" s="4" t="b">
        <x:v>1</x:v>
      </x:c>
      <x:c r="U86" s="4" t="b">
        <x:v>1</x:v>
      </x:c>
      <x:c r="V86" s="10" t="n">
        <x:v>1789277117</x:v>
      </x:c>
      <x:c r="W86" s="3" t="str">
        <x:v>{"side": "BUY", "symbol": "SUIUSDT", "order_id": 8849213806, "quantity": "41.30000000", "price": "0.7248", "quote_amount": "29.93424000", "quote_asset": "USDT", "signal_candle_close_time": 1789277099999, "reason": "strategy buy signal", "entry_conditions": {"rsi_recovered": false, "near_support": true, "trend_ok": true, "reward_ok": true, "stop_risk_ok": true, "momentum_ok": true}, "environment": "production", "recorded_at": 1789277117}</x:v>
      </x:c>
      <x:c r="X86" s="10" t="n">
        <x:v>0</x:v>
      </x:c>
      <x:c r="Y86" s="8" t="n">
        <x:v>46278.22589120371</x:v>
      </x:c>
      <x:c r="Z86" s="3" t="str">
        <x:v>2026-09-13</x:v>
      </x:c>
      <x:c r="AA86" s="3" t="str">
        <x:v>ACTIVE / MIXED</x:v>
      </x:c>
      <x:c r="AB86" s="8" t="n">
        <x:v>46278.34197916667</x:v>
      </x:c>
      <x:c r="AC86" s="10" t="n">
        <x:v>770</x:v>
      </x:c>
      <x:c r="AD86" s="3" t="str">
        <x:v>rsi_recovered</x:v>
      </x:c>
      <x:c r="AE86" s="3"/>
      <x:c r="AF86" s="9"/>
      <x:c r="AG86" s="3"/>
      <x:c r="AH86" s="9"/>
      <x:c r="AI86" s="9"/>
      <x:c r="AJ86" s="3"/>
      <x:c r="AK86" s="9"/>
      <x:c r="AL86" s="3"/>
      <x:c r="AM86" s="3"/>
    </x:row>
    <x:row r="87" ht="21" customHeight="1">
      <x:c r="A87" s="8" t="n">
        <x:v>46278.357777777775</x:v>
      </x:c>
      <x:c r="B87" s="3" t="str">
        <x:v>PEPEUSDT</x:v>
      </x:c>
      <x:c r="C87" s="3" t="str">
        <x:v>BUY</x:v>
      </x:c>
      <x:c r="D87" s="3" t="str">
        <x:v>5415465135</x:v>
      </x:c>
      <x:c r="E87" s="9" t="n">
        <x:v>8670520</x:v>
      </x:c>
      <x:c r="F87" s="9" t="n">
        <x:v>0.00000346</x:v>
      </x:c>
      <x:c r="G87" s="9" t="n">
        <x:v>29.9999992</x:v>
      </x:c>
      <x:c r="H87" s="9"/>
      <x:c r="I87" s="3"/>
      <x:c r="J87" s="3" t="str">
        <x:v>gross only; actual fees not recorded</x:v>
      </x:c>
      <x:c r="K87" s="3" t="str">
        <x:v>strategy buy signal</x:v>
      </x:c>
      <x:c r="L87" s="3" t="str">
        <x:v>production</x:v>
      </x:c>
      <x:c r="M87" s="10" t="n">
        <x:v>705</x:v>
      </x:c>
      <x:c r="N87" s="3" t="str">
        <x:v>USDT</x:v>
      </x:c>
      <x:c r="O87" s="9" t="n">
        <x:v>1789277699999</x:v>
      </x:c>
      <x:c r="P87" s="4" t="b">
        <x:v>0</x:v>
      </x:c>
      <x:c r="Q87" s="4" t="b">
        <x:v>1</x:v>
      </x:c>
      <x:c r="R87" s="4" t="b">
        <x:v>1</x:v>
      </x:c>
      <x:c r="S87" s="4" t="b">
        <x:v>1</x:v>
      </x:c>
      <x:c r="T87" s="4" t="b">
        <x:v>1</x:v>
      </x:c>
      <x:c r="U87" s="4" t="b">
        <x:v>1</x:v>
      </x:c>
      <x:c r="V87" s="10" t="n">
        <x:v>1789277712</x:v>
      </x:c>
      <x:c r="W87" s="3" t="str">
        <x:v>{"side": "BUY", "symbol": "PEPEUSDT", "order_id": 5415465135, "quantity": "8670520.00", "price": "0.00000346", "quote_amount": "29.99999920", "quote_asset": "USDT", "signal_candle_close_time": 1789277699999, "reason": "strategy buy signal", "entry_conditions": {"rsi_recovered": false, "near_support": true, "trend_ok": true, "reward_ok": true, "stop_risk_ok": true, "momentum_ok": true}, "environment": "production", "recorded_at": 1789277712}</x:v>
      </x:c>
      <x:c r="X87" s="10" t="n">
        <x:v>0</x:v>
      </x:c>
      <x:c r="Y87" s="8" t="n">
        <x:v>46278.232777777775</x:v>
      </x:c>
      <x:c r="Z87" s="3" t="str">
        <x:v>2026-09-13</x:v>
      </x:c>
      <x:c r="AA87" s="3" t="str">
        <x:v>ACTIVE / MIXED</x:v>
      </x:c>
      <x:c r="AB87" s="8" t="n">
        <x:v>46278.35258101852</x:v>
      </x:c>
      <x:c r="AC87" s="10" t="n">
        <x:v>449</x:v>
      </x:c>
      <x:c r="AD87" s="3" t="str">
        <x:v>rsi_recovered</x:v>
      </x:c>
      <x:c r="AE87" s="3"/>
      <x:c r="AF87" s="9"/>
      <x:c r="AG87" s="3"/>
      <x:c r="AH87" s="9"/>
      <x:c r="AI87" s="9"/>
      <x:c r="AJ87" s="3"/>
      <x:c r="AK87" s="9"/>
      <x:c r="AL87" s="3"/>
      <x:c r="AM87" s="3"/>
    </x:row>
    <x:row r="88" ht="21" customHeight="1">
      <x:c r="A88" s="8" t="n">
        <x:v>46278.367060185185</x:v>
      </x:c>
      <x:c r="B88" s="3" t="str">
        <x:v>ADAUSDT</x:v>
      </x:c>
      <x:c r="C88" s="3" t="str">
        <x:v>SELL</x:v>
      </x:c>
      <x:c r="D88" s="3" t="str">
        <x:v>8786223397</x:v>
      </x:c>
      <x:c r="E88" s="9" t="n">
        <x:v>144.6</x:v>
      </x:c>
      <x:c r="F88" s="9" t="n">
        <x:v>0.2081</x:v>
      </x:c>
      <x:c r="G88" s="9" t="n">
        <x:v>30.09126</x:v>
      </x:c>
      <x:c r="H88" s="9" t="n">
        <x:v>0.10122</x:v>
      </x:c>
      <x:c r="I88" s="3"/>
      <x:c r="J88" s="3" t="str">
        <x:v>gross only; actual fees not recorded</x:v>
      </x:c>
      <x:c r="K88" s="3" t="str">
        <x:v>take profit</x:v>
      </x:c>
      <x:c r="L88" s="3" t="str">
        <x:v>production</x:v>
      </x:c>
      <x:c r="M88" s="10" t="n">
        <x:v>706</x:v>
      </x:c>
      <x:c r="N88" s="3" t="str">
        <x:v>USDT</x:v>
      </x:c>
      <x:c r="O88" s="9"/>
      <x:c r="P88" s="3"/>
      <x:c r="Q88" s="3"/>
      <x:c r="R88" s="3"/>
      <x:c r="S88" s="3"/>
      <x:c r="T88" s="3"/>
      <x:c r="U88" s="3"/>
      <x:c r="V88" s="10" t="n">
        <x:v>1789278514</x:v>
      </x:c>
      <x:c r="W88" s="3" t="str">
        <x:v>{"side": "SELL", "symbol": "ADAUSDT", "order_id": 8786223397, "quantity": "144.60000000", "price": "0.2081", "quote_amount": "30.09126000", "quote_asset": "USDT", "reason": "take profit", "estimated_pnl_usdt": "0.101220000000", "environment": "production", "recorded_at": 1789278514}</x:v>
      </x:c>
      <x:c r="X88" s="10" t="n">
        <x:v>0</x:v>
      </x:c>
      <x:c r="Y88" s="8" t="n">
        <x:v>46278.242060185185</x:v>
      </x:c>
      <x:c r="Z88" s="3" t="str">
        <x:v>2026-09-13</x:v>
      </x:c>
      <x:c r="AA88" s="3" t="str">
        <x:v>ACTIVE / MIXED</x:v>
      </x:c>
      <x:c r="AB88" s="8" t="n">
        <x:v>46278.36325231481</x:v>
      </x:c>
      <x:c r="AC88" s="10" t="n">
        <x:v>329</x:v>
      </x:c>
      <x:c r="AD88" s="3"/>
      <x:c r="AE88" s="3"/>
      <x:c r="AF88" s="9"/>
      <x:c r="AG88" s="3"/>
      <x:c r="AH88" s="9"/>
      <x:c r="AI88" s="9"/>
      <x:c r="AJ88" s="3"/>
      <x:c r="AK88" s="9"/>
      <x:c r="AL88" s="3"/>
      <x:c r="AM88" s="3"/>
    </x:row>
    <x:row r="89" ht="21" customHeight="1">
      <x:c r="A89" s="8" t="n">
        <x:v>46278.37159722222</x:v>
      </x:c>
      <x:c r="B89" s="3" t="str">
        <x:v>PEPEUSDT</x:v>
      </x:c>
      <x:c r="C89" s="3" t="str">
        <x:v>SELL</x:v>
      </x:c>
      <x:c r="D89" s="3" t="str">
        <x:v>5415472144</x:v>
      </x:c>
      <x:c r="E89" s="9" t="n">
        <x:v>8661849</x:v>
      </x:c>
      <x:c r="F89" s="9" t="n">
        <x:v>0.00000347</x:v>
      </x:c>
      <x:c r="G89" s="9" t="n">
        <x:v>30.05661603</x:v>
      </x:c>
      <x:c r="H89" s="9" t="n">
        <x:v>0.08661849</x:v>
      </x:c>
      <x:c r="I89" s="3"/>
      <x:c r="J89" s="3" t="str">
        <x:v>gross only; actual fees not recorded</x:v>
      </x:c>
      <x:c r="K89" s="3" t="str">
        <x:v>RSI sell signal</x:v>
      </x:c>
      <x:c r="L89" s="3" t="str">
        <x:v>production</x:v>
      </x:c>
      <x:c r="M89" s="10" t="n">
        <x:v>707</x:v>
      </x:c>
      <x:c r="N89" s="3" t="str">
        <x:v>USDT</x:v>
      </x:c>
      <x:c r="O89" s="9"/>
      <x:c r="P89" s="3"/>
      <x:c r="Q89" s="3"/>
      <x:c r="R89" s="3"/>
      <x:c r="S89" s="3"/>
      <x:c r="T89" s="3"/>
      <x:c r="U89" s="3"/>
      <x:c r="V89" s="10" t="n">
        <x:v>1789278906</x:v>
      </x:c>
      <x:c r="W89" s="3" t="str">
        <x:v>{"side": "SELL", "symbol": "PEPEUSDT", "order_id": 5415472144, "quantity": "8661849.00", "price": "0.00000347", "quote_amount": "30.05661603", "quote_asset": "USDT", "reason": "RSI sell signal", "estimated_pnl_usdt": "0.0866184900", "environment": "production", "recorded_at": 1789278906}</x:v>
      </x:c>
      <x:c r="X89" s="10" t="n">
        <x:v>0</x:v>
      </x:c>
      <x:c r="Y89" s="8" t="n">
        <x:v>46278.24659722222</x:v>
      </x:c>
      <x:c r="Z89" s="3" t="str">
        <x:v>2026-09-13</x:v>
      </x:c>
      <x:c r="AA89" s="3" t="str">
        <x:v>ACTIVE / MIXED</x:v>
      </x:c>
      <x:c r="AB89" s="8" t="n">
        <x:v>46278.36325231481</x:v>
      </x:c>
      <x:c r="AC89" s="10" t="n">
        <x:v>721</x:v>
      </x:c>
      <x:c r="AD89" s="3"/>
      <x:c r="AE89" s="3"/>
      <x:c r="AF89" s="9"/>
      <x:c r="AG89" s="3"/>
      <x:c r="AH89" s="9"/>
      <x:c r="AI89" s="9"/>
      <x:c r="AJ89" s="3"/>
      <x:c r="AK89" s="9"/>
      <x:c r="AL89" s="3"/>
      <x:c r="AM89" s="3"/>
    </x:row>
    <x:row r="90" ht="21" customHeight="1">
      <x:c r="A90" s="8" t="n">
        <x:v>46278.37851851852</x:v>
      </x:c>
      <x:c r="B90" s="3" t="str">
        <x:v>ENAUSDT</x:v>
      </x:c>
      <x:c r="C90" s="3" t="str">
        <x:v>BUY</x:v>
      </x:c>
      <x:c r="D90" s="3" t="str">
        <x:v>3402424198</x:v>
      </x:c>
      <x:c r="E90" s="9" t="n">
        <x:v>211.71</x:v>
      </x:c>
      <x:c r="F90" s="9" t="n">
        <x:v>0.1417</x:v>
      </x:c>
      <x:c r="G90" s="9" t="n">
        <x:v>29.999307</x:v>
      </x:c>
      <x:c r="H90" s="9"/>
      <x:c r="I90" s="3"/>
      <x:c r="J90" s="3" t="str">
        <x:v>gross only; actual fees not recorded</x:v>
      </x:c>
      <x:c r="K90" s="3" t="str">
        <x:v>strategy buy signal</x:v>
      </x:c>
      <x:c r="L90" s="3" t="str">
        <x:v>production</x:v>
      </x:c>
      <x:c r="M90" s="10" t="n">
        <x:v>708</x:v>
      </x:c>
      <x:c r="N90" s="3" t="str">
        <x:v>USDT</x:v>
      </x:c>
      <x:c r="O90" s="9" t="n">
        <x:v>1789279499999</x:v>
      </x:c>
      <x:c r="P90" s="4" t="b">
        <x:v>0</x:v>
      </x:c>
      <x:c r="Q90" s="4" t="b">
        <x:v>1</x:v>
      </x:c>
      <x:c r="R90" s="4" t="b">
        <x:v>1</x:v>
      </x:c>
      <x:c r="S90" s="4" t="b">
        <x:v>1</x:v>
      </x:c>
      <x:c r="T90" s="4" t="b">
        <x:v>1</x:v>
      </x:c>
      <x:c r="U90" s="4" t="b">
        <x:v>1</x:v>
      </x:c>
      <x:c r="V90" s="10" t="n">
        <x:v>1789279504</x:v>
      </x:c>
      <x:c r="W90" s="3" t="str">
        <x:v>{"side": "BUY", "symbol": "ENAUSDT", "order_id": 3402424198, "quantity": "211.71000000", "price": "0.1417", "quote_amount": "29.99930700", "quote_asset": "USDT", "signal_candle_close_time": 1789279499999, "reason": "strategy buy signal", "entry_conditions": {"rsi_recovered": false, "near_support": true, "trend_ok": true, "reward_ok": true, "stop_risk_ok": true, "momentum_ok": true}, "environment": "production", "recorded_at": 1789279504}</x:v>
      </x:c>
      <x:c r="X90" s="10" t="n">
        <x:v>0</x:v>
      </x:c>
      <x:c r="Y90" s="8" t="n">
        <x:v>46278.25351851852</x:v>
      </x:c>
      <x:c r="Z90" s="3" t="str">
        <x:v>2026-09-13</x:v>
      </x:c>
      <x:c r="AA90" s="3" t="str">
        <x:v>ACTIVE / MIXED</x:v>
      </x:c>
      <x:c r="AB90" s="8" t="n">
        <x:v>46278.37396990741</x:v>
      </x:c>
      <x:c r="AC90" s="10" t="n">
        <x:v>393</x:v>
      </x:c>
      <x:c r="AD90" s="3" t="str">
        <x:v>rsi_recovered</x:v>
      </x:c>
      <x:c r="AE90" s="3"/>
      <x:c r="AF90" s="9"/>
      <x:c r="AG90" s="3"/>
      <x:c r="AH90" s="9"/>
      <x:c r="AI90" s="9"/>
      <x:c r="AJ90" s="3"/>
      <x:c r="AK90" s="9"/>
      <x:c r="AL90" s="3"/>
      <x:c r="AM90" s="3"/>
    </x:row>
    <x:row r="91" ht="21" customHeight="1">
      <x:c r="A91" s="8" t="n">
        <x:v>46278.38893518518</x:v>
      </x:c>
      <x:c r="B91" s="3" t="str">
        <x:v>ZECUSDT</x:v>
      </x:c>
      <x:c r="C91" s="3" t="str">
        <x:v>BUY</x:v>
      </x:c>
      <x:c r="D91" s="3" t="str">
        <x:v>6088269543</x:v>
      </x:c>
      <x:c r="E91" s="9" t="n">
        <x:v>0.026</x:v>
      </x:c>
      <x:c r="F91" s="9" t="n">
        <x:v>1142.81</x:v>
      </x:c>
      <x:c r="G91" s="9" t="n">
        <x:v>29.71306</x:v>
      </x:c>
      <x:c r="H91" s="9"/>
      <x:c r="I91" s="3"/>
      <x:c r="J91" s="3" t="str">
        <x:v>gross only; actual fees not recorded</x:v>
      </x:c>
      <x:c r="K91" s="3" t="str">
        <x:v>strategy buy signal</x:v>
      </x:c>
      <x:c r="L91" s="3" t="str">
        <x:v>production</x:v>
      </x:c>
      <x:c r="M91" s="10" t="n">
        <x:v>709</x:v>
      </x:c>
      <x:c r="N91" s="3" t="str">
        <x:v>USDT</x:v>
      </x:c>
      <x:c r="O91" s="9" t="n">
        <x:v>1789280399999</x:v>
      </x:c>
      <x:c r="P91" s="4" t="b">
        <x:v>0</x:v>
      </x:c>
      <x:c r="Q91" s="4" t="b">
        <x:v>1</x:v>
      </x:c>
      <x:c r="R91" s="4" t="b">
        <x:v>1</x:v>
      </x:c>
      <x:c r="S91" s="4" t="b">
        <x:v>1</x:v>
      </x:c>
      <x:c r="T91" s="4" t="b">
        <x:v>1</x:v>
      </x:c>
      <x:c r="U91" s="4" t="b">
        <x:v>1</x:v>
      </x:c>
      <x:c r="V91" s="10" t="n">
        <x:v>1789280404</x:v>
      </x:c>
      <x:c r="W91" s="3" t="str">
        <x:v>{"side": "BUY", "symbol": "ZECUSDT", "order_id": 6088269543, "quantity": "0.02600000", "price": "1142.81", "quote_amount": "29.71306000", "quote_asset": "USDT", "signal_candle_close_time": 1789280399999, "reason": "strategy buy signal", "entry_conditions": {"rsi_recovered": false, "near_support": true, "trend_ok": true, "reward_ok": true, "stop_risk_ok": true, "momentum_ok": true}, "environment": "production", "recorded_at": 1789280404}</x:v>
      </x:c>
      <x:c r="X91" s="10" t="n">
        <x:v>0</x:v>
      </x:c>
      <x:c r="Y91" s="8" t="n">
        <x:v>46278.26393518518</x:v>
      </x:c>
      <x:c r="Z91" s="3" t="str">
        <x:v>2026-09-13</x:v>
      </x:c>
      <x:c r="AA91" s="3" t="str">
        <x:v>ACTIVE / MIXED</x:v>
      </x:c>
      <x:c r="AB91" s="8" t="n">
        <x:v>46278.38438657407</x:v>
      </x:c>
      <x:c r="AC91" s="10" t="n">
        <x:v>393</x:v>
      </x:c>
      <x:c r="AD91" s="3" t="str">
        <x:v>rsi_recovered</x:v>
      </x:c>
      <x:c r="AE91" s="3"/>
      <x:c r="AF91" s="9"/>
      <x:c r="AG91" s="3"/>
      <x:c r="AH91" s="9"/>
      <x:c r="AI91" s="9"/>
      <x:c r="AJ91" s="3"/>
      <x:c r="AK91" s="9"/>
      <x:c r="AL91" s="3"/>
      <x:c r="AM91" s="3"/>
    </x:row>
    <x:row r="92" ht="21" customHeight="1">
      <x:c r="A92" s="8" t="n">
        <x:v>46278.39240740741</x:v>
      </x:c>
      <x:c r="B92" s="3" t="str">
        <x:v>ENAUSDT</x:v>
      </x:c>
      <x:c r="C92" s="3" t="str">
        <x:v>SELL</x:v>
      </x:c>
      <x:c r="D92" s="3" t="str">
        <x:v>3402430396</x:v>
      </x:c>
      <x:c r="E92" s="9" t="n">
        <x:v>211.71</x:v>
      </x:c>
      <x:c r="F92" s="9" t="n">
        <x:v>0.141</x:v>
      </x:c>
      <x:c r="G92" s="9" t="n">
        <x:v>29.85111</x:v>
      </x:c>
      <x:c r="H92" s="9" t="n">
        <x:v>-0.148197</x:v>
      </x:c>
      <x:c r="I92" s="3"/>
      <x:c r="J92" s="3" t="str">
        <x:v>gross only; actual fees not recorded</x:v>
      </x:c>
      <x:c r="K92" s="3" t="str">
        <x:v>stop loss</x:v>
      </x:c>
      <x:c r="L92" s="3" t="str">
        <x:v>production</x:v>
      </x:c>
      <x:c r="M92" s="10" t="n">
        <x:v>710</x:v>
      </x:c>
      <x:c r="N92" s="3" t="str">
        <x:v>USDT</x:v>
      </x:c>
      <x:c r="O92" s="9"/>
      <x:c r="P92" s="3"/>
      <x:c r="Q92" s="3"/>
      <x:c r="R92" s="3"/>
      <x:c r="S92" s="3"/>
      <x:c r="T92" s="3"/>
      <x:c r="U92" s="3"/>
      <x:c r="V92" s="10" t="n">
        <x:v>1789280704</x:v>
      </x:c>
      <x:c r="W92" s="3" t="str">
        <x:v>{"side": "SELL", "symbol": "ENAUSDT", "order_id": 3402430396, "quantity": "211.71000000", "price": "0.141", "quote_amount": "29.85111000", "quote_asset": "USDT", "reason": "stop loss", "estimated_pnl_usdt": "-0.148197000000", "environment": "production", "recorded_at": 1789280704}</x:v>
      </x:c>
      <x:c r="X92" s="10" t="n">
        <x:v>0</x:v>
      </x:c>
      <x:c r="Y92" s="8" t="n">
        <x:v>46278.26740740741</x:v>
      </x:c>
      <x:c r="Z92" s="3" t="str">
        <x:v>2026-09-13</x:v>
      </x:c>
      <x:c r="AA92" s="3" t="str">
        <x:v>ACTIVE / MIXED</x:v>
      </x:c>
      <x:c r="AB92" s="8" t="n">
        <x:v>46278.38438657407</x:v>
      </x:c>
      <x:c r="AC92" s="10" t="n">
        <x:v>693</x:v>
      </x:c>
      <x:c r="AD92" s="3"/>
      <x:c r="AE92" s="3"/>
      <x:c r="AF92" s="9"/>
      <x:c r="AG92" s="3"/>
      <x:c r="AH92" s="9"/>
      <x:c r="AI92" s="9"/>
      <x:c r="AJ92" s="3"/>
      <x:c r="AK92" s="9"/>
      <x:c r="AL92" s="3"/>
      <x:c r="AM92" s="3"/>
    </x:row>
    <x:row r="93" ht="21" customHeight="1">
      <x:c r="A93" s="8" t="n">
        <x:v>46278.39241898148</x:v>
      </x:c>
      <x:c r="B93" s="3" t="str">
        <x:v>UNIUSDT</x:v>
      </x:c>
      <x:c r="C93" s="3" t="str">
        <x:v>BUY</x:v>
      </x:c>
      <x:c r="D93" s="3" t="str">
        <x:v>5335107850</x:v>
      </x:c>
      <x:c r="E93" s="9" t="n">
        <x:v>4.7</x:v>
      </x:c>
      <x:c r="F93" s="9" t="n">
        <x:v>6.382</x:v>
      </x:c>
      <x:c r="G93" s="9" t="n">
        <x:v>29.9954</x:v>
      </x:c>
      <x:c r="H93" s="9"/>
      <x:c r="I93" s="3"/>
      <x:c r="J93" s="3" t="str">
        <x:v>gross only; actual fees not recorded</x:v>
      </x:c>
      <x:c r="K93" s="3" t="str">
        <x:v>strategy buy signal</x:v>
      </x:c>
      <x:c r="L93" s="3" t="str">
        <x:v>production</x:v>
      </x:c>
      <x:c r="M93" s="10" t="n">
        <x:v>711</x:v>
      </x:c>
      <x:c r="N93" s="3" t="str">
        <x:v>USDT</x:v>
      </x:c>
      <x:c r="O93" s="9" t="n">
        <x:v>1789280699999</x:v>
      </x:c>
      <x:c r="P93" s="4" t="b">
        <x:v>0</x:v>
      </x:c>
      <x:c r="Q93" s="4" t="b">
        <x:v>1</x:v>
      </x:c>
      <x:c r="R93" s="4" t="b">
        <x:v>1</x:v>
      </x:c>
      <x:c r="S93" s="4" t="b">
        <x:v>1</x:v>
      </x:c>
      <x:c r="T93" s="4" t="b">
        <x:v>1</x:v>
      </x:c>
      <x:c r="U93" s="4" t="b">
        <x:v>1</x:v>
      </x:c>
      <x:c r="V93" s="10" t="n">
        <x:v>1789280705</x:v>
      </x:c>
      <x:c r="W93" s="3" t="str">
        <x:v>{"side": "BUY", "symbol": "UNIUSDT", "order_id": 5335107850, "quantity": "4.70000000", "price": "6.382", "quote_amount": "29.99540000", "quote_asset": "USDT", "signal_candle_close_time": 1789280699999, "reason": "strategy buy signal", "entry_conditions": {"rsi_recovered": false, "near_support": true, "trend_ok": true, "reward_ok": true, "stop_risk_ok": true, "momentum_ok": true}, "environment": "production", "recorded_at": 1789280705}</x:v>
      </x:c>
      <x:c r="X93" s="10" t="n">
        <x:v>0</x:v>
      </x:c>
      <x:c r="Y93" s="8" t="n">
        <x:v>46278.26741898148</x:v>
      </x:c>
      <x:c r="Z93" s="3" t="str">
        <x:v>2026-09-13</x:v>
      </x:c>
      <x:c r="AA93" s="3" t="str">
        <x:v>ACTIVE / MIXED</x:v>
      </x:c>
      <x:c r="AB93" s="8" t="n">
        <x:v>46278.38438657407</x:v>
      </x:c>
      <x:c r="AC93" s="10" t="n">
        <x:v>694</x:v>
      </x:c>
      <x:c r="AD93" s="3" t="str">
        <x:v>rsi_recovered</x:v>
      </x:c>
      <x:c r="AE93" s="3"/>
      <x:c r="AF93" s="9"/>
      <x:c r="AG93" s="3"/>
      <x:c r="AH93" s="9"/>
      <x:c r="AI93" s="9"/>
      <x:c r="AJ93" s="3"/>
      <x:c r="AK93" s="9"/>
      <x:c r="AL93" s="3"/>
      <x:c r="AM93" s="3"/>
    </x:row>
    <x:row r="94" ht="21" customHeight="1">
      <x:c r="A94" s="8" t="n">
        <x:v>46278.39246527778</x:v>
      </x:c>
      <x:c r="B94" s="3" t="str">
        <x:v>ADAUSDT</x:v>
      </x:c>
      <x:c r="C94" s="3" t="str">
        <x:v>BUY</x:v>
      </x:c>
      <x:c r="D94" s="3" t="str">
        <x:v>8786233168</x:v>
      </x:c>
      <x:c r="E94" s="9" t="n">
        <x:v>144.3</x:v>
      </x:c>
      <x:c r="F94" s="9" t="n">
        <x:v>0.2079</x:v>
      </x:c>
      <x:c r="G94" s="9" t="n">
        <x:v>29.99997</x:v>
      </x:c>
      <x:c r="H94" s="9"/>
      <x:c r="I94" s="3"/>
      <x:c r="J94" s="3" t="str">
        <x:v>gross only; actual fees not recorded</x:v>
      </x:c>
      <x:c r="K94" s="3" t="str">
        <x:v>strategy buy signal</x:v>
      </x:c>
      <x:c r="L94" s="3" t="str">
        <x:v>production</x:v>
      </x:c>
      <x:c r="M94" s="10" t="n">
        <x:v>712</x:v>
      </x:c>
      <x:c r="N94" s="3" t="str">
        <x:v>USDT</x:v>
      </x:c>
      <x:c r="O94" s="9" t="n">
        <x:v>1789280699999</x:v>
      </x:c>
      <x:c r="P94" s="4" t="b">
        <x:v>0</x:v>
      </x:c>
      <x:c r="Q94" s="4" t="b">
        <x:v>1</x:v>
      </x:c>
      <x:c r="R94" s="4" t="b">
        <x:v>1</x:v>
      </x:c>
      <x:c r="S94" s="4" t="b">
        <x:v>1</x:v>
      </x:c>
      <x:c r="T94" s="4" t="b">
        <x:v>1</x:v>
      </x:c>
      <x:c r="U94" s="4" t="b">
        <x:v>1</x:v>
      </x:c>
      <x:c r="V94" s="10" t="n">
        <x:v>1789280709</x:v>
      </x:c>
      <x:c r="W94" s="3" t="str">
        <x:v>{"side": "BUY", "symbol": "ADAUSDT", "order_id": 8786233168, "quantity": "144.30000000", "price": "0.2079", "quote_amount": "29.99997000", "quote_asset": "USDT", "signal_candle_close_time": 1789280699999, "reason": "strategy buy signal", "entry_conditions": {"rsi_recovered": false, "near_support": true, "trend_ok": true, "reward_ok": true, "stop_risk_ok": true, "momentum_ok": true}, "environment": "production", "recorded_at": 1789280709}</x:v>
      </x:c>
      <x:c r="X94" s="10" t="n">
        <x:v>0</x:v>
      </x:c>
      <x:c r="Y94" s="8" t="n">
        <x:v>46278.26746527778</x:v>
      </x:c>
      <x:c r="Z94" s="3" t="str">
        <x:v>2026-09-13</x:v>
      </x:c>
      <x:c r="AA94" s="3" t="str">
        <x:v>ACTIVE / MIXED</x:v>
      </x:c>
      <x:c r="AB94" s="8" t="n">
        <x:v>46278.38438657407</x:v>
      </x:c>
      <x:c r="AC94" s="10" t="n">
        <x:v>698</x:v>
      </x:c>
      <x:c r="AD94" s="3" t="str">
        <x:v>rsi_recovered</x:v>
      </x:c>
      <x:c r="AE94" s="3"/>
      <x:c r="AF94" s="9"/>
      <x:c r="AG94" s="3"/>
      <x:c r="AH94" s="9"/>
      <x:c r="AI94" s="9"/>
      <x:c r="AJ94" s="3"/>
      <x:c r="AK94" s="9"/>
      <x:c r="AL94" s="3"/>
      <x:c r="AM94" s="3"/>
    </x:row>
    <x:row r="95" ht="21" customHeight="1">
      <x:c r="A95" s="8" t="n">
        <x:v>46278.39944444445</x:v>
      </x:c>
      <x:c r="B95" s="3" t="str">
        <x:v>SUIUSDT</x:v>
      </x:c>
      <x:c r="C95" s="3" t="str">
        <x:v>SELL</x:v>
      </x:c>
      <x:c r="D95" s="3" t="str">
        <x:v>8849253263</x:v>
      </x:c>
      <x:c r="E95" s="9" t="n">
        <x:v>41.3</x:v>
      </x:c>
      <x:c r="F95" s="9" t="n">
        <x:v>0.7229</x:v>
      </x:c>
      <x:c r="G95" s="9" t="n">
        <x:v>29.85577</x:v>
      </x:c>
      <x:c r="H95" s="9" t="n">
        <x:v>-0.07847</x:v>
      </x:c>
      <x:c r="I95" s="3"/>
      <x:c r="J95" s="3" t="str">
        <x:v>gross only; actual fees not recorded</x:v>
      </x:c>
      <x:c r="K95" s="3" t="str">
        <x:v>stop loss</x:v>
      </x:c>
      <x:c r="L95" s="3" t="str">
        <x:v>production</x:v>
      </x:c>
      <x:c r="M95" s="10" t="n">
        <x:v>713</x:v>
      </x:c>
      <x:c r="N95" s="3" t="str">
        <x:v>USDT</x:v>
      </x:c>
      <x:c r="O95" s="9"/>
      <x:c r="P95" s="3"/>
      <x:c r="Q95" s="3"/>
      <x:c r="R95" s="3"/>
      <x:c r="S95" s="3"/>
      <x:c r="T95" s="3"/>
      <x:c r="U95" s="3"/>
      <x:c r="V95" s="10" t="n">
        <x:v>1789281312</x:v>
      </x:c>
      <x:c r="W95" s="3" t="str">
        <x:v>{"side": "SELL", "symbol": "SUIUSDT", "order_id": 8849253263, "quantity": "41.30000000", "price": "0.7229", "quote_amount": "29.85577000", "quote_asset": "USDT", "reason": "stop loss", "estimated_pnl_usdt": "-0.078470000000", "environment": "production", "recorded_at": 1789281312}</x:v>
      </x:c>
      <x:c r="X95" s="10" t="n">
        <x:v>0</x:v>
      </x:c>
      <x:c r="Y95" s="8" t="n">
        <x:v>46278.27444444445</x:v>
      </x:c>
      <x:c r="Z95" s="3" t="str">
        <x:v>2026-09-13</x:v>
      </x:c>
      <x:c r="AA95" s="3" t="str">
        <x:v>ACTIVE / MIXED</x:v>
      </x:c>
      <x:c r="AB95" s="8" t="n">
        <x:v>46278.394837962966</x:v>
      </x:c>
      <x:c r="AC95" s="10" t="n">
        <x:v>398</x:v>
      </x:c>
      <x:c r="AD95" s="3"/>
      <x:c r="AE95" s="3"/>
      <x:c r="AF95" s="9"/>
      <x:c r="AG95" s="3"/>
      <x:c r="AH95" s="9"/>
      <x:c r="AI95" s="9"/>
      <x:c r="AJ95" s="3"/>
      <x:c r="AK95" s="9"/>
      <x:c r="AL95" s="3"/>
      <x:c r="AM95" s="3"/>
    </x:row>
    <x:row r="96" ht="21" customHeight="1">
      <x:c r="A96" s="8" t="n">
        <x:v>46278.39945601852</x:v>
      </x:c>
      <x:c r="B96" s="3" t="str">
        <x:v>WLDUSDT</x:v>
      </x:c>
      <x:c r="C96" s="3" t="str">
        <x:v>SELL</x:v>
      </x:c>
      <x:c r="D96" s="3" t="str">
        <x:v>4151847116</x:v>
      </x:c>
      <x:c r="E96" s="9" t="n">
        <x:v>75.5</x:v>
      </x:c>
      <x:c r="F96" s="9" t="n">
        <x:v>0.3956</x:v>
      </x:c>
      <x:c r="G96" s="9" t="n">
        <x:v>29.8678</x:v>
      </x:c>
      <x:c r="H96" s="9" t="n">
        <x:v>-0.12835</x:v>
      </x:c>
      <x:c r="I96" s="3"/>
      <x:c r="J96" s="3" t="str">
        <x:v>gross only; actual fees not recorded</x:v>
      </x:c>
      <x:c r="K96" s="3" t="str">
        <x:v>stop loss</x:v>
      </x:c>
      <x:c r="L96" s="3" t="str">
        <x:v>production</x:v>
      </x:c>
      <x:c r="M96" s="10" t="n">
        <x:v>714</x:v>
      </x:c>
      <x:c r="N96" s="3" t="str">
        <x:v>USDT</x:v>
      </x:c>
      <x:c r="O96" s="9"/>
      <x:c r="P96" s="3"/>
      <x:c r="Q96" s="3"/>
      <x:c r="R96" s="3"/>
      <x:c r="S96" s="3"/>
      <x:c r="T96" s="3"/>
      <x:c r="U96" s="3"/>
      <x:c r="V96" s="10" t="n">
        <x:v>1789281313</x:v>
      </x:c>
      <x:c r="W96" s="3" t="str">
        <x:v>{"side": "SELL", "symbol": "WLDUSDT", "order_id": 4151847116, "quantity": "75.50000000", "price": "0.3956", "quote_amount": "29.86780000", "quote_asset": "USDT", "reason": "stop loss", "estimated_pnl_usdt": "-0.128350000000", "environment": "production", "recorded_at": 1789281313}</x:v>
      </x:c>
      <x:c r="X96" s="10" t="n">
        <x:v>0</x:v>
      </x:c>
      <x:c r="Y96" s="8" t="n">
        <x:v>46278.27445601852</x:v>
      </x:c>
      <x:c r="Z96" s="3" t="str">
        <x:v>2026-09-13</x:v>
      </x:c>
      <x:c r="AA96" s="3" t="str">
        <x:v>ACTIVE / MIXED</x:v>
      </x:c>
      <x:c r="AB96" s="8" t="n">
        <x:v>46278.394837962966</x:v>
      </x:c>
      <x:c r="AC96" s="10" t="n">
        <x:v>399</x:v>
      </x:c>
      <x:c r="AD96" s="3"/>
      <x:c r="AE96" s="3"/>
      <x:c r="AF96" s="9"/>
      <x:c r="AG96" s="3"/>
      <x:c r="AH96" s="9"/>
      <x:c r="AI96" s="9"/>
      <x:c r="AJ96" s="3"/>
      <x:c r="AK96" s="9"/>
      <x:c r="AL96" s="3"/>
      <x:c r="AM96" s="3"/>
    </x:row>
    <x:row r="97" ht="21" customHeight="1">
      <x:c r="A97" s="8" t="n">
        <x:v>46278.413298611114</x:v>
      </x:c>
      <x:c r="B97" s="3" t="str">
        <x:v>UNIUSDT</x:v>
      </x:c>
      <x:c r="C97" s="3" t="str">
        <x:v>SELL</x:v>
      </x:c>
      <x:c r="D97" s="3" t="str">
        <x:v>5335143492</x:v>
      </x:c>
      <x:c r="E97" s="9" t="n">
        <x:v>4.7</x:v>
      </x:c>
      <x:c r="F97" s="9" t="n">
        <x:v>6.336</x:v>
      </x:c>
      <x:c r="G97" s="9" t="n">
        <x:v>29.7792</x:v>
      </x:c>
      <x:c r="H97" s="9" t="n">
        <x:v>-0.2162</x:v>
      </x:c>
      <x:c r="I97" s="3"/>
      <x:c r="J97" s="3" t="str">
        <x:v>gross only; actual fees not recorded</x:v>
      </x:c>
      <x:c r="K97" s="3" t="str">
        <x:v>stop loss</x:v>
      </x:c>
      <x:c r="L97" s="3" t="str">
        <x:v>production</x:v>
      </x:c>
      <x:c r="M97" s="10" t="n">
        <x:v>715</x:v>
      </x:c>
      <x:c r="N97" s="3" t="str">
        <x:v>USDT</x:v>
      </x:c>
      <x:c r="O97" s="9"/>
      <x:c r="P97" s="3"/>
      <x:c r="Q97" s="3"/>
      <x:c r="R97" s="3"/>
      <x:c r="S97" s="3"/>
      <x:c r="T97" s="3"/>
      <x:c r="U97" s="3"/>
      <x:c r="V97" s="10" t="n">
        <x:v>1789282509</x:v>
      </x:c>
      <x:c r="W97" s="3" t="str">
        <x:v>{"side": "SELL", "symbol": "UNIUSDT", "order_id": 5335143492, "quantity": "4.70000000", "price": "6.336", "quote_amount": "29.77920000", "quote_asset": "USDT", "reason": "stop loss", "estimated_pnl_usdt": "-0.21620000000", "environment": "production", "recorded_at": 1789282509}</x:v>
      </x:c>
      <x:c r="X97" s="10" t="n">
        <x:v>0</x:v>
      </x:c>
      <x:c r="Y97" s="8" t="n">
        <x:v>46278.288298611114</x:v>
      </x:c>
      <x:c r="Z97" s="3" t="str">
        <x:v>2026-09-13</x:v>
      </x:c>
      <x:c r="AA97" s="3" t="str">
        <x:v>ACTIVE / MIXED</x:v>
      </x:c>
      <x:c r="AB97" s="8" t="n">
        <x:v>46278.405277777776</x:v>
      </x:c>
      <x:c r="AC97" s="10" t="n">
        <x:v>693</x:v>
      </x:c>
      <x:c r="AD97" s="3"/>
      <x:c r="AE97" s="3"/>
      <x:c r="AF97" s="9"/>
      <x:c r="AG97" s="3"/>
      <x:c r="AH97" s="9"/>
      <x:c r="AI97" s="9"/>
      <x:c r="AJ97" s="3"/>
      <x:c r="AK97" s="9"/>
      <x:c r="AL97" s="3"/>
      <x:c r="AM97" s="3"/>
    </x:row>
    <x:row r="98" ht="21" customHeight="1">
      <x:c r="A98" s="8" t="n">
        <x:v>46278.413356481484</x:v>
      </x:c>
      <x:c r="B98" s="3" t="str">
        <x:v>ADAUSDT</x:v>
      </x:c>
      <x:c r="C98" s="3" t="str">
        <x:v>SELL</x:v>
      </x:c>
      <x:c r="D98" s="3" t="str">
        <x:v>8786240488</x:v>
      </x:c>
      <x:c r="E98" s="9" t="n">
        <x:v>144.3</x:v>
      </x:c>
      <x:c r="F98" s="9" t="n">
        <x:v>0.207</x:v>
      </x:c>
      <x:c r="G98" s="9" t="n">
        <x:v>29.8701</x:v>
      </x:c>
      <x:c r="H98" s="9" t="n">
        <x:v>-0.12987</x:v>
      </x:c>
      <x:c r="I98" s="3"/>
      <x:c r="J98" s="3" t="str">
        <x:v>gross only; actual fees not recorded</x:v>
      </x:c>
      <x:c r="K98" s="3" t="str">
        <x:v>stop loss</x:v>
      </x:c>
      <x:c r="L98" s="3" t="str">
        <x:v>production</x:v>
      </x:c>
      <x:c r="M98" s="10" t="n">
        <x:v>716</x:v>
      </x:c>
      <x:c r="N98" s="3" t="str">
        <x:v>USDT</x:v>
      </x:c>
      <x:c r="O98" s="9"/>
      <x:c r="P98" s="3"/>
      <x:c r="Q98" s="3"/>
      <x:c r="R98" s="3"/>
      <x:c r="S98" s="3"/>
      <x:c r="T98" s="3"/>
      <x:c r="U98" s="3"/>
      <x:c r="V98" s="10" t="n">
        <x:v>1789282514</x:v>
      </x:c>
      <x:c r="W98" s="3" t="str">
        <x:v>{"side": "SELL", "symbol": "ADAUSDT", "order_id": 8786240488, "quantity": "144.30000000", "price": "0.207", "quote_amount": "29.87010000", "quote_asset": "USDT", "reason": "stop loss", "estimated_pnl_usdt": "-0.129870000000", "environment": "production", "recorded_at": 1789282514}</x:v>
      </x:c>
      <x:c r="X98" s="10" t="n">
        <x:v>0</x:v>
      </x:c>
      <x:c r="Y98" s="8" t="n">
        <x:v>46278.288356481484</x:v>
      </x:c>
      <x:c r="Z98" s="3" t="str">
        <x:v>2026-09-13</x:v>
      </x:c>
      <x:c r="AA98" s="3" t="str">
        <x:v>ACTIVE / MIXED</x:v>
      </x:c>
      <x:c r="AB98" s="8" t="n">
        <x:v>46278.405277777776</x:v>
      </x:c>
      <x:c r="AC98" s="10" t="n">
        <x:v>698</x:v>
      </x:c>
      <x:c r="AD98" s="3"/>
      <x:c r="AE98" s="3"/>
      <x:c r="AF98" s="9"/>
      <x:c r="AG98" s="3"/>
      <x:c r="AH98" s="9"/>
      <x:c r="AI98" s="9"/>
      <x:c r="AJ98" s="3"/>
      <x:c r="AK98" s="9"/>
      <x:c r="AL98" s="3"/>
      <x:c r="AM98" s="3"/>
    </x:row>
    <x:row r="99" ht="21" customHeight="1">
      <x:c r="A99" s="8" t="n">
        <x:v>46278.444814814815</x:v>
      </x:c>
      <x:c r="B99" s="3" t="str">
        <x:v>ZECUSDT</x:v>
      </x:c>
      <x:c r="C99" s="3" t="str">
        <x:v>SELL</x:v>
      </x:c>
      <x:c r="D99" s="3" t="str">
        <x:v>6088759689</x:v>
      </x:c>
      <x:c r="E99" s="9" t="n">
        <x:v>0.026</x:v>
      </x:c>
      <x:c r="F99" s="9" t="n">
        <x:v>1133.99</x:v>
      </x:c>
      <x:c r="G99" s="9" t="n">
        <x:v>29.48374</x:v>
      </x:c>
      <x:c r="H99" s="9" t="n">
        <x:v>-0.22932</x:v>
      </x:c>
      <x:c r="I99" s="3"/>
      <x:c r="J99" s="3" t="str">
        <x:v>gross only; actual fees not recorded</x:v>
      </x:c>
      <x:c r="K99" s="3" t="str">
        <x:v>stop loss</x:v>
      </x:c>
      <x:c r="L99" s="3" t="str">
        <x:v>production</x:v>
      </x:c>
      <x:c r="M99" s="10" t="n">
        <x:v>717</x:v>
      </x:c>
      <x:c r="N99" s="3" t="str">
        <x:v>USDT</x:v>
      </x:c>
      <x:c r="O99" s="9"/>
      <x:c r="P99" s="3"/>
      <x:c r="Q99" s="3"/>
      <x:c r="R99" s="3"/>
      <x:c r="S99" s="3"/>
      <x:c r="T99" s="3"/>
      <x:c r="U99" s="3"/>
      <x:c r="V99" s="10" t="n">
        <x:v>1789285232</x:v>
      </x:c>
      <x:c r="W99" s="3" t="str">
        <x:v>{"side": "SELL", "symbol": "ZECUSDT", "order_id": 6088759689, "quantity": "0.02600000", "price": "1133.99", "quote_amount": "29.48374000", "quote_asset": "USDT", "reason": "stop loss", "estimated_pnl_usdt": "-0.2293200000", "environment": "production", "recorded_at": 1789285232}</x:v>
      </x:c>
      <x:c r="X99" s="10" t="n">
        <x:v>0</x:v>
      </x:c>
      <x:c r="Y99" s="8" t="n">
        <x:v>46278.319814814815</x:v>
      </x:c>
      <x:c r="Z99" s="3" t="str">
        <x:v>2026-09-13</x:v>
      </x:c>
      <x:c r="AA99" s="3" t="str">
        <x:v>ACTIVE / MIXED</x:v>
      </x:c>
      <x:c r="AB99" s="8" t="n">
        <x:v>46278.4375462963</x:v>
      </x:c>
      <x:c r="AC99" s="10" t="n">
        <x:v>628</x:v>
      </x:c>
      <x:c r="AD99" s="3"/>
      <x:c r="AE99" s="3"/>
      <x:c r="AF99" s="9"/>
      <x:c r="AG99" s="3"/>
      <x:c r="AH99" s="9"/>
      <x:c r="AI99" s="9"/>
      <x:c r="AJ99" s="3"/>
      <x:c r="AK99" s="9"/>
      <x:c r="AL99" s="3"/>
      <x:c r="AM99" s="3"/>
    </x:row>
    <x:row r="100" ht="21" customHeight="1">
      <x:c r="A100" s="8" t="n">
        <x:v>46278.75702546296</x:v>
      </x:c>
      <x:c r="B100" s="3" t="str">
        <x:v>NEARUSDT</x:v>
      </x:c>
      <x:c r="C100" s="3" t="str">
        <x:v>BUY</x:v>
      </x:c>
      <x:c r="D100" s="3" t="str">
        <x:v>5125011408</x:v>
      </x:c>
      <x:c r="E100" s="9" t="n">
        <x:v>13</x:v>
      </x:c>
      <x:c r="F100" s="9" t="n">
        <x:v>2.3</x:v>
      </x:c>
      <x:c r="G100" s="9" t="n">
        <x:v>29.9</x:v>
      </x:c>
      <x:c r="H100" s="9"/>
      <x:c r="I100" s="3"/>
      <x:c r="J100" s="3" t="str">
        <x:v>gross only; actual fees not recorded</x:v>
      </x:c>
      <x:c r="K100" s="3" t="str">
        <x:v>strategy buy signal</x:v>
      </x:c>
      <x:c r="L100" s="3" t="str">
        <x:v>production</x:v>
      </x:c>
      <x:c r="M100" s="10" t="n">
        <x:v>718</x:v>
      </x:c>
      <x:c r="N100" s="3" t="str">
        <x:v>USDT</x:v>
      </x:c>
      <x:c r="O100" s="9" t="n">
        <x:v>1789312199999</x:v>
      </x:c>
      <x:c r="P100" s="4" t="b">
        <x:v>0</x:v>
      </x:c>
      <x:c r="Q100" s="4" t="b">
        <x:v>1</x:v>
      </x:c>
      <x:c r="R100" s="4" t="b">
        <x:v>1</x:v>
      </x:c>
      <x:c r="S100" s="4" t="b">
        <x:v>1</x:v>
      </x:c>
      <x:c r="T100" s="4" t="b">
        <x:v>1</x:v>
      </x:c>
      <x:c r="U100" s="4" t="b">
        <x:v>1</x:v>
      </x:c>
      <x:c r="V100" s="10" t="n">
        <x:v>1789312207</x:v>
      </x:c>
      <x:c r="W100" s="3" t="str">
        <x:v>{"side": "BUY", "symbol": "NEARUSDT", "order_id": 5125011408, "quantity": "13.00000000", "price": "2.3", "quote_amount": "29.90000000", "quote_asset": "USDT", "signal_candle_close_time": 1789312199999, "reason": "strategy buy signal", "entry_conditions": {"rsi_recovered": false, "near_support": true, "trend_ok": true, "reward_ok": true, "stop_risk_ok": true, "momentum_ok": true}, "environment": "production", "recorded_at": 1789312207}</x:v>
      </x:c>
      <x:c r="X100" s="10" t="n">
        <x:v>0</x:v>
      </x:c>
      <x:c r="Y100" s="8" t="n">
        <x:v>46278.63202546296</x:v>
      </x:c>
      <x:c r="Z100" s="3" t="str">
        <x:v>2026-09-13</x:v>
      </x:c>
      <x:c r="AA100" s="3" t="str">
        <x:v>ACTIVE / MIXED</x:v>
      </x:c>
      <x:c r="AB100" s="8" t="n">
        <x:v>46278.75659722222</x:v>
      </x:c>
      <x:c r="AC100" s="10" t="n">
        <x:v>37</x:v>
      </x:c>
      <x:c r="AD100" s="3" t="str">
        <x:v>rsi_recovered</x:v>
      </x:c>
      <x:c r="AE100" s="3"/>
      <x:c r="AF100" s="9"/>
      <x:c r="AG100" s="3"/>
      <x:c r="AH100" s="9"/>
      <x:c r="AI100" s="9"/>
      <x:c r="AJ100" s="3"/>
      <x:c r="AK100" s="9"/>
      <x:c r="AL100" s="3"/>
      <x:c r="AM100" s="3"/>
    </x:row>
    <x:row r="101" ht="21" customHeight="1">
      <x:c r="A101" s="8" t="n">
        <x:v>46278.76392361111</x:v>
      </x:c>
      <x:c r="B101" s="3" t="str">
        <x:v>SOLUSDT</x:v>
      </x:c>
      <x:c r="C101" s="3" t="str">
        <x:v>BUY</x:v>
      </x:c>
      <x:c r="D101" s="3" t="str">
        <x:v>17794023855</x:v>
      </x:c>
      <x:c r="E101" s="9" t="n">
        <x:v>0.299</x:v>
      </x:c>
      <x:c r="F101" s="9" t="n">
        <x:v>100.24</x:v>
      </x:c>
      <x:c r="G101" s="9" t="n">
        <x:v>29.97176</x:v>
      </x:c>
      <x:c r="H101" s="9"/>
      <x:c r="I101" s="3"/>
      <x:c r="J101" s="3" t="str">
        <x:v>gross only; actual fees not recorded</x:v>
      </x:c>
      <x:c r="K101" s="3" t="str">
        <x:v>strategy buy signal</x:v>
      </x:c>
      <x:c r="L101" s="3" t="str">
        <x:v>production</x:v>
      </x:c>
      <x:c r="M101" s="10" t="n">
        <x:v>719</x:v>
      </x:c>
      <x:c r="N101" s="3" t="str">
        <x:v>USDT</x:v>
      </x:c>
      <x:c r="O101" s="9" t="n">
        <x:v>1789312799999</x:v>
      </x:c>
      <x:c r="P101" s="4" t="b">
        <x:v>0</x:v>
      </x:c>
      <x:c r="Q101" s="4" t="b">
        <x:v>1</x:v>
      </x:c>
      <x:c r="R101" s="4" t="b">
        <x:v>1</x:v>
      </x:c>
      <x:c r="S101" s="4" t="b">
        <x:v>1</x:v>
      </x:c>
      <x:c r="T101" s="4" t="b">
        <x:v>1</x:v>
      </x:c>
      <x:c r="U101" s="4" t="b">
        <x:v>1</x:v>
      </x:c>
      <x:c r="V101" s="10" t="n">
        <x:v>1789312803</x:v>
      </x:c>
      <x:c r="W101" s="3" t="str">
        <x:v>{"side": "BUY", "symbol": "SOLUSDT", "order_id": 17794023855, "quantity": "0.29900000", "price": "100.24", "quote_amount": "29.97176000", "quote_asset": "USDT", "signal_candle_close_time": 1789312799999, "reason": "strategy buy signal", "entry_conditions": {"rsi_recovered": false, "near_support": true, "trend_ok": true, "reward_ok": true, "stop_risk_ok": true, "momentum_ok": true}, "environment": "production", "recorded_at": 1789312803}</x:v>
      </x:c>
      <x:c r="X101" s="10" t="n">
        <x:v>0</x:v>
      </x:c>
      <x:c r="Y101" s="8" t="n">
        <x:v>46278.63892361111</x:v>
      </x:c>
      <x:c r="Z101" s="3" t="str">
        <x:v>2026-09-13</x:v>
      </x:c>
      <x:c r="AA101" s="3" t="str">
        <x:v>ACTIVE / MIXED</x:v>
      </x:c>
      <x:c r="AB101" s="8" t="n">
        <x:v>46278.75659722222</x:v>
      </x:c>
      <x:c r="AC101" s="10" t="n">
        <x:v>633</x:v>
      </x:c>
      <x:c r="AD101" s="3" t="str">
        <x:v>rsi_recovered</x:v>
      </x:c>
      <x:c r="AE101" s="3"/>
      <x:c r="AF101" s="9"/>
      <x:c r="AG101" s="3"/>
      <x:c r="AH101" s="9"/>
      <x:c r="AI101" s="9"/>
      <x:c r="AJ101" s="3"/>
      <x:c r="AK101" s="9"/>
      <x:c r="AL101" s="3"/>
      <x:c r="AM101" s="3"/>
    </x:row>
    <x:row r="102" ht="21" customHeight="1">
      <x:c r="A102" s="8" t="n">
        <x:v>46278.76393518518</x:v>
      </x:c>
      <x:c r="B102" s="3" t="str">
        <x:v>DOGEUSDT</x:v>
      </x:c>
      <x:c r="C102" s="3" t="str">
        <x:v>BUY</x:v>
      </x:c>
      <x:c r="D102" s="3" t="str">
        <x:v>14926398816</x:v>
      </x:c>
      <x:c r="E102" s="9" t="n">
        <x:v>359</x:v>
      </x:c>
      <x:c r="F102" s="9" t="n">
        <x:v>0.0835</x:v>
      </x:c>
      <x:c r="G102" s="9" t="n">
        <x:v>29.9765</x:v>
      </x:c>
      <x:c r="H102" s="9"/>
      <x:c r="I102" s="3"/>
      <x:c r="J102" s="3" t="str">
        <x:v>gross only; actual fees not recorded</x:v>
      </x:c>
      <x:c r="K102" s="3" t="str">
        <x:v>strategy buy signal</x:v>
      </x:c>
      <x:c r="L102" s="3" t="str">
        <x:v>production</x:v>
      </x:c>
      <x:c r="M102" s="10" t="n">
        <x:v>720</x:v>
      </x:c>
      <x:c r="N102" s="3" t="str">
        <x:v>USDT</x:v>
      </x:c>
      <x:c r="O102" s="9" t="n">
        <x:v>1789312799999</x:v>
      </x:c>
      <x:c r="P102" s="4" t="b">
        <x:v>0</x:v>
      </x:c>
      <x:c r="Q102" s="4" t="b">
        <x:v>1</x:v>
      </x:c>
      <x:c r="R102" s="4" t="b">
        <x:v>1</x:v>
      </x:c>
      <x:c r="S102" s="4" t="b">
        <x:v>1</x:v>
      </x:c>
      <x:c r="T102" s="4" t="b">
        <x:v>1</x:v>
      </x:c>
      <x:c r="U102" s="4" t="b">
        <x:v>1</x:v>
      </x:c>
      <x:c r="V102" s="10" t="n">
        <x:v>1789312804</x:v>
      </x:c>
      <x:c r="W102" s="3" t="str">
        <x:v>{"side": "BUY", "symbol": "DOGEUSDT", "order_id": 14926398816, "quantity": "359.00000000", "price": "0.0835", "quote_amount": "29.97650000", "quote_asset": "USDT", "signal_candle_close_time": 1789312799999, "reason": "strategy buy signal", "entry_conditions": {"rsi_recovered": false, "near_support": true, "trend_ok": true, "reward_ok": true, "stop_risk_ok": true, "momentum_ok": true}, "environment": "production", "recorded_at": 1789312804}</x:v>
      </x:c>
      <x:c r="X102" s="10" t="n">
        <x:v>0</x:v>
      </x:c>
      <x:c r="Y102" s="8" t="n">
        <x:v>46278.63893518518</x:v>
      </x:c>
      <x:c r="Z102" s="3" t="str">
        <x:v>2026-09-13</x:v>
      </x:c>
      <x:c r="AA102" s="3" t="str">
        <x:v>ACTIVE / MIXED</x:v>
      </x:c>
      <x:c r="AB102" s="8" t="n">
        <x:v>46278.75659722222</x:v>
      </x:c>
      <x:c r="AC102" s="10" t="n">
        <x:v>634</x:v>
      </x:c>
      <x:c r="AD102" s="3" t="str">
        <x:v>rsi_recovered</x:v>
      </x:c>
      <x:c r="AE102" s="3"/>
      <x:c r="AF102" s="9"/>
      <x:c r="AG102" s="3"/>
      <x:c r="AH102" s="9"/>
      <x:c r="AI102" s="9"/>
      <x:c r="AJ102" s="3"/>
      <x:c r="AK102" s="9"/>
      <x:c r="AL102" s="3"/>
      <x:c r="AM102" s="3"/>
    </x:row>
    <x:row r="103" ht="21" customHeight="1">
      <x:c r="A103" s="8" t="n">
        <x:v>46278.76395833334</x:v>
      </x:c>
      <x:c r="B103" s="3" t="str">
        <x:v>ETHUSDT</x:v>
      </x:c>
      <x:c r="C103" s="3" t="str">
        <x:v>BUY</x:v>
      </x:c>
      <x:c r="D103" s="3" t="str">
        <x:v>49784064337</x:v>
      </x:c>
      <x:c r="E103" s="9" t="n">
        <x:v>0.012</x:v>
      </x:c>
      <x:c r="F103" s="9" t="n">
        <x:v>2485.62</x:v>
      </x:c>
      <x:c r="G103" s="9" t="n">
        <x:v>29.82744</x:v>
      </x:c>
      <x:c r="H103" s="9"/>
      <x:c r="I103" s="3"/>
      <x:c r="J103" s="3" t="str">
        <x:v>gross only; actual fees not recorded</x:v>
      </x:c>
      <x:c r="K103" s="3" t="str">
        <x:v>strategy buy signal</x:v>
      </x:c>
      <x:c r="L103" s="3" t="str">
        <x:v>production</x:v>
      </x:c>
      <x:c r="M103" s="10" t="n">
        <x:v>721</x:v>
      </x:c>
      <x:c r="N103" s="3" t="str">
        <x:v>USDT</x:v>
      </x:c>
      <x:c r="O103" s="9" t="n">
        <x:v>1789312799999</x:v>
      </x:c>
      <x:c r="P103" s="4" t="b">
        <x:v>0</x:v>
      </x:c>
      <x:c r="Q103" s="4" t="b">
        <x:v>1</x:v>
      </x:c>
      <x:c r="R103" s="4" t="b">
        <x:v>1</x:v>
      </x:c>
      <x:c r="S103" s="4" t="b">
        <x:v>1</x:v>
      </x:c>
      <x:c r="T103" s="4" t="b">
        <x:v>1</x:v>
      </x:c>
      <x:c r="U103" s="4" t="b">
        <x:v>1</x:v>
      </x:c>
      <x:c r="V103" s="10" t="n">
        <x:v>1789312806</x:v>
      </x:c>
      <x:c r="W103" s="3" t="str">
        <x:v>{"side": "BUY", "symbol": "ETHUSDT", "order_id": 49784064337, "quantity": "0.01200000", "price": "2485.62", "quote_amount": "29.82744000", "quote_asset": "USDT", "signal_candle_close_time": 1789312799999, "reason": "strategy buy signal", "entry_conditions": {"rsi_recovered": false, "near_support": true, "trend_ok": true, "reward_ok": true, "stop_risk_ok": true, "momentum_ok": true}, "environment": "production", "recorded_at": 1789312806}</x:v>
      </x:c>
      <x:c r="X103" s="10" t="n">
        <x:v>0</x:v>
      </x:c>
      <x:c r="Y103" s="8" t="n">
        <x:v>46278.63895833334</x:v>
      </x:c>
      <x:c r="Z103" s="3" t="str">
        <x:v>2026-09-13</x:v>
      </x:c>
      <x:c r="AA103" s="3" t="str">
        <x:v>ACTIVE / MIXED</x:v>
      </x:c>
      <x:c r="AB103" s="8" t="n">
        <x:v>46278.75659722222</x:v>
      </x:c>
      <x:c r="AC103" s="10" t="n">
        <x:v>636</x:v>
      </x:c>
      <x:c r="AD103" s="3" t="str">
        <x:v>rsi_recovered</x:v>
      </x:c>
      <x:c r="AE103" s="3"/>
      <x:c r="AF103" s="9"/>
      <x:c r="AG103" s="3"/>
      <x:c r="AH103" s="9"/>
      <x:c r="AI103" s="9"/>
      <x:c r="AJ103" s="3"/>
      <x:c r="AK103" s="9"/>
      <x:c r="AL103" s="3"/>
      <x:c r="AM103" s="3"/>
    </x:row>
    <x:row r="104" ht="21" customHeight="1">
      <x:c r="A104" s="8" t="n">
        <x:v>46278.788402777776</x:v>
      </x:c>
      <x:c r="B104" s="3" t="str">
        <x:v>NEARUSDT</x:v>
      </x:c>
      <x:c r="C104" s="3" t="str">
        <x:v>SELL</x:v>
      </x:c>
      <x:c r="D104" s="3" t="str">
        <x:v>5125046435</x:v>
      </x:c>
      <x:c r="E104" s="9" t="n">
        <x:v>13</x:v>
      </x:c>
      <x:c r="F104" s="9" t="n">
        <x:v>2.283</x:v>
      </x:c>
      <x:c r="G104" s="9" t="n">
        <x:v>29.679</x:v>
      </x:c>
      <x:c r="H104" s="9" t="n">
        <x:v>-0.221</x:v>
      </x:c>
      <x:c r="I104" s="3"/>
      <x:c r="J104" s="3" t="str">
        <x:v>gross only; actual fees not recorded</x:v>
      </x:c>
      <x:c r="K104" s="3" t="str">
        <x:v>stop loss</x:v>
      </x:c>
      <x:c r="L104" s="3" t="str">
        <x:v>production</x:v>
      </x:c>
      <x:c r="M104" s="10" t="n">
        <x:v>722</x:v>
      </x:c>
      <x:c r="N104" s="3" t="str">
        <x:v>USDT</x:v>
      </x:c>
      <x:c r="O104" s="9"/>
      <x:c r="P104" s="3"/>
      <x:c r="Q104" s="3"/>
      <x:c r="R104" s="3"/>
      <x:c r="S104" s="3"/>
      <x:c r="T104" s="3"/>
      <x:c r="U104" s="3"/>
      <x:c r="V104" s="10" t="n">
        <x:v>1789314918</x:v>
      </x:c>
      <x:c r="W104" s="3" t="str">
        <x:v>{"side": "SELL", "symbol": "NEARUSDT", "order_id": 5125046435, "quantity": "13.00000000", "price": "2.283", "quote_amount": "29.67900000", "quote_asset": "USDT", "reason": "stop loss", "estimated_pnl_usdt": "-0.22100000000", "environment": "production", "recorded_at": 1789314918}</x:v>
      </x:c>
      <x:c r="X104" s="10" t="n">
        <x:v>0</x:v>
      </x:c>
      <x:c r="Y104" s="8" t="n">
        <x:v>46278.663402777776</x:v>
      </x:c>
      <x:c r="Z104" s="3" t="str">
        <x:v>2026-09-13</x:v>
      </x:c>
      <x:c r="AA104" s="3" t="str">
        <x:v>ACTIVE / WEAK</x:v>
      </x:c>
      <x:c r="AB104" s="8" t="n">
        <x:v>46278.778078703705</x:v>
      </x:c>
      <x:c r="AC104" s="10" t="n">
        <x:v>892</x:v>
      </x:c>
      <x:c r="AD104" s="3"/>
      <x:c r="AE104" s="3"/>
      <x:c r="AF104" s="9"/>
      <x:c r="AG104" s="3"/>
      <x:c r="AH104" s="9"/>
      <x:c r="AI104" s="9"/>
      <x:c r="AJ104" s="3"/>
      <x:c r="AK104" s="9"/>
      <x:c r="AL104" s="3"/>
      <x:c r="AM104" s="3"/>
    </x:row>
    <x:row r="105" ht="21" customHeight="1">
      <x:c r="A105" s="8" t="n">
        <x:v>46278.79384259259</x:v>
      </x:c>
      <x:c r="B105" s="3" t="str">
        <x:v>ETHUSDT</x:v>
      </x:c>
      <x:c r="C105" s="3" t="str">
        <x:v>SELL</x:v>
      </x:c>
      <x:c r="D105" s="3" t="str">
        <x:v>49784373472</x:v>
      </x:c>
      <x:c r="E105" s="9" t="n">
        <x:v>0.012</x:v>
      </x:c>
      <x:c r="F105" s="9" t="n">
        <x:v>2494.82</x:v>
      </x:c>
      <x:c r="G105" s="9" t="n">
        <x:v>29.93784</x:v>
      </x:c>
      <x:c r="H105" s="9" t="n">
        <x:v>0.1104</x:v>
      </x:c>
      <x:c r="I105" s="3"/>
      <x:c r="J105" s="3" t="str">
        <x:v>gross only; actual fees not recorded</x:v>
      </x:c>
      <x:c r="K105" s="3" t="str">
        <x:v>take profit</x:v>
      </x:c>
      <x:c r="L105" s="3" t="str">
        <x:v>production</x:v>
      </x:c>
      <x:c r="M105" s="10" t="n">
        <x:v>723</x:v>
      </x:c>
      <x:c r="N105" s="3" t="str">
        <x:v>USDT</x:v>
      </x:c>
      <x:c r="O105" s="9"/>
      <x:c r="P105" s="3"/>
      <x:c r="Q105" s="3"/>
      <x:c r="R105" s="3"/>
      <x:c r="S105" s="3"/>
      <x:c r="T105" s="3"/>
      <x:c r="U105" s="3"/>
      <x:c r="V105" s="10" t="n">
        <x:v>1789315388</x:v>
      </x:c>
      <x:c r="W105" s="3" t="str">
        <x:v>{"side": "SELL", "symbol": "ETHUSDT", "order_id": 49784373472, "quantity": "0.01200000", "price": "2494.82", "quote_amount": "29.93784000", "quote_asset": "USDT", "reason": "take profit", "estimated_pnl_usdt": "0.1104000000", "environment": "production", "recorded_at": 1789315388}</x:v>
      </x:c>
      <x:c r="X105" s="10" t="n">
        <x:v>0</x:v>
      </x:c>
      <x:c r="Y105" s="8" t="n">
        <x:v>46278.66884259259</x:v>
      </x:c>
      <x:c r="Z105" s="3" t="str">
        <x:v>2026-09-13</x:v>
      </x:c>
      <x:c r="AA105" s="3" t="str">
        <x:v>ACTIVE / WEAK</x:v>
      </x:c>
      <x:c r="AB105" s="8" t="n">
        <x:v>46278.788877314815</x:v>
      </x:c>
      <x:c r="AC105" s="10" t="n">
        <x:v>429</x:v>
      </x:c>
      <x:c r="AD105" s="3"/>
      <x:c r="AE105" s="3"/>
      <x:c r="AF105" s="9"/>
      <x:c r="AG105" s="3"/>
      <x:c r="AH105" s="9"/>
      <x:c r="AI105" s="9"/>
      <x:c r="AJ105" s="3"/>
      <x:c r="AK105" s="9"/>
      <x:c r="AL105" s="3"/>
      <x:c r="AM105" s="3"/>
    </x:row>
    <x:row r="106" ht="21" customHeight="1">
      <x:c r="A106" s="8" t="n">
        <x:v>46278.797581018516</x:v>
      </x:c>
      <x:c r="B106" s="3" t="str">
        <x:v>SOLUSDT</x:v>
      </x:c>
      <x:c r="C106" s="3" t="str">
        <x:v>SELL</x:v>
      </x:c>
      <x:c r="D106" s="3" t="str">
        <x:v>17794109320</x:v>
      </x:c>
      <x:c r="E106" s="9" t="n">
        <x:v>0.299</x:v>
      </x:c>
      <x:c r="F106" s="9" t="n">
        <x:v>100.6</x:v>
      </x:c>
      <x:c r="G106" s="9" t="n">
        <x:v>30.0794</x:v>
      </x:c>
      <x:c r="H106" s="9" t="n">
        <x:v>0.10764</x:v>
      </x:c>
      <x:c r="I106" s="3"/>
      <x:c r="J106" s="3" t="str">
        <x:v>gross only; actual fees not recorded</x:v>
      </x:c>
      <x:c r="K106" s="3" t="str">
        <x:v>take profit</x:v>
      </x:c>
      <x:c r="L106" s="3" t="str">
        <x:v>production</x:v>
      </x:c>
      <x:c r="M106" s="10" t="n">
        <x:v>724</x:v>
      </x:c>
      <x:c r="N106" s="3" t="str">
        <x:v>USDT</x:v>
      </x:c>
      <x:c r="O106" s="9"/>
      <x:c r="P106" s="3"/>
      <x:c r="Q106" s="3"/>
      <x:c r="R106" s="3"/>
      <x:c r="S106" s="3"/>
      <x:c r="T106" s="3"/>
      <x:c r="U106" s="3"/>
      <x:c r="V106" s="10" t="n">
        <x:v>1789315711</x:v>
      </x:c>
      <x:c r="W106" s="3" t="str">
        <x:v>{"side": "SELL", "symbol": "SOLUSDT", "order_id": 17794109320, "quantity": "0.29900000", "price": "100.6", "quote_amount": "30.07940000", "quote_asset": "USDT", "reason": "take profit", "estimated_pnl_usdt": "0.1076400000", "environment": "production", "recorded_at": 1789315711}</x:v>
      </x:c>
      <x:c r="X106" s="10" t="n">
        <x:v>0</x:v>
      </x:c>
      <x:c r="Y106" s="8" t="n">
        <x:v>46278.672581018516</x:v>
      </x:c>
      <x:c r="Z106" s="3" t="str">
        <x:v>2026-09-13</x:v>
      </x:c>
      <x:c r="AA106" s="3" t="str">
        <x:v>ACTIVE / WEAK</x:v>
      </x:c>
      <x:c r="AB106" s="8" t="n">
        <x:v>46278.788877314815</x:v>
      </x:c>
      <x:c r="AC106" s="10" t="n">
        <x:v>752</x:v>
      </x:c>
      <x:c r="AD106" s="3"/>
      <x:c r="AE106" s="3"/>
      <x:c r="AF106" s="9"/>
      <x:c r="AG106" s="3"/>
      <x:c r="AH106" s="9"/>
      <x:c r="AI106" s="9"/>
      <x:c r="AJ106" s="3"/>
      <x:c r="AK106" s="9"/>
      <x:c r="AL106" s="3"/>
      <x:c r="AM106" s="3"/>
    </x:row>
    <x:row r="107" ht="21" customHeight="1">
      <x:c r="A107" s="8" t="n">
        <x:v>46278.79869212963</x:v>
      </x:c>
      <x:c r="B107" s="3" t="str">
        <x:v>DOGEUSDT</x:v>
      </x:c>
      <x:c r="C107" s="3" t="str">
        <x:v>SELL</x:v>
      </x:c>
      <x:c r="D107" s="3" t="str">
        <x:v>14926493777</x:v>
      </x:c>
      <x:c r="E107" s="9" t="n">
        <x:v>359</x:v>
      </x:c>
      <x:c r="F107" s="9" t="n">
        <x:v>0.08381</x:v>
      </x:c>
      <x:c r="G107" s="9" t="n">
        <x:v>30.08779</x:v>
      </x:c>
      <x:c r="H107" s="9" t="n">
        <x:v>0.11129</x:v>
      </x:c>
      <x:c r="I107" s="3"/>
      <x:c r="J107" s="3" t="str">
        <x:v>gross only; actual fees not recorded</x:v>
      </x:c>
      <x:c r="K107" s="3" t="str">
        <x:v>take profit</x:v>
      </x:c>
      <x:c r="L107" s="3" t="str">
        <x:v>production</x:v>
      </x:c>
      <x:c r="M107" s="10" t="n">
        <x:v>725</x:v>
      </x:c>
      <x:c r="N107" s="3" t="str">
        <x:v>USDT</x:v>
      </x:c>
      <x:c r="O107" s="9"/>
      <x:c r="P107" s="3"/>
      <x:c r="Q107" s="3"/>
      <x:c r="R107" s="3"/>
      <x:c r="S107" s="3"/>
      <x:c r="T107" s="3"/>
      <x:c r="U107" s="3"/>
      <x:c r="V107" s="10" t="n">
        <x:v>1789315807</x:v>
      </x:c>
      <x:c r="W107" s="3" t="str">
        <x:v>{"side": "SELL", "symbol": "DOGEUSDT", "order_id": 14926493777, "quantity": "359.00000000", "price": "0.08381", "quote_amount": "30.08779000", "quote_asset": "USDT", "reason": "take profit", "estimated_pnl_usdt": "0.1112900000000", "environment": "production", "recorded_at": 1789315807}</x:v>
      </x:c>
      <x:c r="X107" s="10" t="n">
        <x:v>0</x:v>
      </x:c>
      <x:c r="Y107" s="8" t="n">
        <x:v>46278.67369212963</x:v>
      </x:c>
      <x:c r="Z107" s="3" t="str">
        <x:v>2026-09-13</x:v>
      </x:c>
      <x:c r="AA107" s="3" t="str">
        <x:v>ACTIVE / WEAK</x:v>
      </x:c>
      <x:c r="AB107" s="8" t="n">
        <x:v>46278.788877314815</x:v>
      </x:c>
      <x:c r="AC107" s="10" t="n">
        <x:v>848</x:v>
      </x:c>
      <x:c r="AD107" s="3"/>
      <x:c r="AE107" s="3"/>
      <x:c r="AF107" s="9"/>
      <x:c r="AG107" s="3"/>
      <x:c r="AH107" s="9"/>
      <x:c r="AI107" s="9"/>
      <x:c r="AJ107" s="3"/>
      <x:c r="AK107" s="9"/>
      <x:c r="AL107" s="3"/>
      <x:c r="AM107" s="3"/>
    </x:row>
    <x:row r="108" ht="21" customHeight="1">
      <x:c r="A108" s="8" t="n">
        <x:v>46278.81413194445</x:v>
      </x:c>
      <x:c r="B108" s="3" t="str">
        <x:v>DOGEUSDT</x:v>
      </x:c>
      <x:c r="C108" s="3" t="str">
        <x:v>BUY</x:v>
      </x:c>
      <x:c r="D108" s="3" t="str">
        <x:v>14926540306</x:v>
      </x:c>
      <x:c r="E108" s="9" t="n">
        <x:v>357</x:v>
      </x:c>
      <x:c r="F108" s="9" t="n">
        <x:v>0.08381</x:v>
      </x:c>
      <x:c r="G108" s="9" t="n">
        <x:v>29.92017</x:v>
      </x:c>
      <x:c r="H108" s="9"/>
      <x:c r="I108" s="3"/>
      <x:c r="J108" s="3" t="str">
        <x:v>gross only; actual fees not recorded</x:v>
      </x:c>
      <x:c r="K108" s="3" t="str">
        <x:v>strategy buy signal</x:v>
      </x:c>
      <x:c r="L108" s="3" t="str">
        <x:v>production</x:v>
      </x:c>
      <x:c r="M108" s="10" t="n">
        <x:v>726</x:v>
      </x:c>
      <x:c r="N108" s="3" t="str">
        <x:v>USDT</x:v>
      </x:c>
      <x:c r="O108" s="9" t="n">
        <x:v>1789316999999</x:v>
      </x:c>
      <x:c r="P108" s="4" t="b">
        <x:v>0</x:v>
      </x:c>
      <x:c r="Q108" s="4" t="b">
        <x:v>1</x:v>
      </x:c>
      <x:c r="R108" s="4" t="b">
        <x:v>1</x:v>
      </x:c>
      <x:c r="S108" s="4" t="b">
        <x:v>1</x:v>
      </x:c>
      <x:c r="T108" s="4" t="b">
        <x:v>1</x:v>
      </x:c>
      <x:c r="U108" s="4" t="b">
        <x:v>1</x:v>
      </x:c>
      <x:c r="V108" s="10" t="n">
        <x:v>1789317141</x:v>
      </x:c>
      <x:c r="W108" s="3" t="str">
        <x:v>{"side": "BUY", "symbol": "DOGEUSDT", "order_id": 14926540306, "quantity": "357.00000000", "price": "0.08381", "quote_amount": "29.92017000", "quote_asset": "USDT", "signal_candle_close_time": 1789316999999, "reason": "strategy buy signal", "entry_conditions": {"rsi_recovered": false, "near_support": true, "trend_ok": true, "reward_ok": true, "stop_risk_ok": true, "momentum_ok": true}, "environment": "production", "recorded_at": 1789317141}</x:v>
      </x:c>
      <x:c r="X108" s="10" t="n">
        <x:v>0</x:v>
      </x:c>
      <x:c r="Y108" s="8" t="n">
        <x:v>46278.68913194445</x:v>
      </x:c>
      <x:c r="Z108" s="3" t="str">
        <x:v>2026-09-13</x:v>
      </x:c>
      <x:c r="AA108" s="3" t="str">
        <x:v>ACTIVE / WEAK</x:v>
      </x:c>
      <x:c r="AB108" s="8" t="n">
        <x:v>46278.81037037037</x:v>
      </x:c>
      <x:c r="AC108" s="10" t="n">
        <x:v>325</x:v>
      </x:c>
      <x:c r="AD108" s="3" t="str">
        <x:v>rsi_recovered</x:v>
      </x:c>
      <x:c r="AE108" s="3"/>
      <x:c r="AF108" s="9"/>
      <x:c r="AG108" s="3"/>
      <x:c r="AH108" s="9"/>
      <x:c r="AI108" s="9"/>
      <x:c r="AJ108" s="3"/>
      <x:c r="AK108" s="9"/>
      <x:c r="AL108" s="3"/>
      <x:c r="AM108" s="3"/>
    </x:row>
    <x:row r="109" ht="21" customHeight="1">
      <x:c r="A109" s="8" t="n">
        <x:v>46278.81414351852</x:v>
      </x:c>
      <x:c r="B109" s="3" t="str">
        <x:v>XRPUSDT</x:v>
      </x:c>
      <x:c r="C109" s="3" t="str">
        <x:v>BUY</x:v>
      </x:c>
      <x:c r="D109" s="3" t="str">
        <x:v>15430812848</x:v>
      </x:c>
      <x:c r="E109" s="9" t="n">
        <x:v>22.2</x:v>
      </x:c>
      <x:c r="F109" s="9" t="n">
        <x:v>1.3481</x:v>
      </x:c>
      <x:c r="G109" s="9" t="n">
        <x:v>29.92782</x:v>
      </x:c>
      <x:c r="H109" s="9"/>
      <x:c r="I109" s="3"/>
      <x:c r="J109" s="3" t="str">
        <x:v>gross only; actual fees not recorded</x:v>
      </x:c>
      <x:c r="K109" s="3" t="str">
        <x:v>strategy buy signal</x:v>
      </x:c>
      <x:c r="L109" s="3" t="str">
        <x:v>production</x:v>
      </x:c>
      <x:c r="M109" s="10" t="n">
        <x:v>727</x:v>
      </x:c>
      <x:c r="N109" s="3" t="str">
        <x:v>USDT</x:v>
      </x:c>
      <x:c r="O109" s="9" t="n">
        <x:v>1789316999999</x:v>
      </x:c>
      <x:c r="P109" s="4" t="b">
        <x:v>0</x:v>
      </x:c>
      <x:c r="Q109" s="4" t="b">
        <x:v>1</x:v>
      </x:c>
      <x:c r="R109" s="4" t="b">
        <x:v>1</x:v>
      </x:c>
      <x:c r="S109" s="4" t="b">
        <x:v>1</x:v>
      </x:c>
      <x:c r="T109" s="4" t="b">
        <x:v>1</x:v>
      </x:c>
      <x:c r="U109" s="4" t="b">
        <x:v>1</x:v>
      </x:c>
      <x:c r="V109" s="10" t="n">
        <x:v>1789317142</x:v>
      </x:c>
      <x:c r="W109" s="3" t="str">
        <x:v>{"side": "BUY", "symbol": "XRPUSDT", "order_id": 15430812848, "quantity": "22.20000000", "price": "1.3481", "quote_amount": "29.92782000", "quote_asset": "USDT", "signal_candle_close_time": 1789316999999, "reason": "strategy buy signal", "entry_conditions": {"rsi_recovered": false, "near_support": true, "trend_ok": true, "reward_ok": true, "stop_risk_ok": true, "momentum_ok": true}, "environment": "production", "recorded_at": 1789317142}</x:v>
      </x:c>
      <x:c r="X109" s="10" t="n">
        <x:v>0</x:v>
      </x:c>
      <x:c r="Y109" s="8" t="n">
        <x:v>46278.68914351852</x:v>
      </x:c>
      <x:c r="Z109" s="3" t="str">
        <x:v>2026-09-13</x:v>
      </x:c>
      <x:c r="AA109" s="3" t="str">
        <x:v>ACTIVE / WEAK</x:v>
      </x:c>
      <x:c r="AB109" s="8" t="n">
        <x:v>46278.81037037037</x:v>
      </x:c>
      <x:c r="AC109" s="10" t="n">
        <x:v>326</x:v>
      </x:c>
      <x:c r="AD109" s="3" t="str">
        <x:v>rsi_recovered</x:v>
      </x:c>
      <x:c r="AE109" s="3"/>
      <x:c r="AF109" s="9"/>
      <x:c r="AG109" s="3"/>
      <x:c r="AH109" s="9"/>
      <x:c r="AI109" s="9"/>
      <x:c r="AJ109" s="3"/>
      <x:c r="AK109" s="9"/>
      <x:c r="AL109" s="3"/>
      <x:c r="AM109" s="3"/>
    </x:row>
    <x:row r="110" ht="21" customHeight="1">
      <x:c r="A110" s="8" t="n">
        <x:v>46278.81606481481</x:v>
      </x:c>
      <x:c r="B110" s="3" t="str">
        <x:v>ADAUSDT</x:v>
      </x:c>
      <x:c r="C110" s="3" t="str">
        <x:v>BUY</x:v>
      </x:c>
      <x:c r="D110" s="3" t="str">
        <x:v>8786499318</x:v>
      </x:c>
      <x:c r="E110" s="9" t="n">
        <x:v>145.2</x:v>
      </x:c>
      <x:c r="F110" s="9" t="n">
        <x:v>0.2065</x:v>
      </x:c>
      <x:c r="G110" s="9" t="n">
        <x:v>29.9838</x:v>
      </x:c>
      <x:c r="H110" s="9"/>
      <x:c r="I110" s="3"/>
      <x:c r="J110" s="3" t="str">
        <x:v>gross only; actual fees not recorded</x:v>
      </x:c>
      <x:c r="K110" s="3" t="str">
        <x:v>strategy buy signal</x:v>
      </x:c>
      <x:c r="L110" s="3" t="str">
        <x:v>production</x:v>
      </x:c>
      <x:c r="M110" s="10" t="n">
        <x:v>728</x:v>
      </x:c>
      <x:c r="N110" s="3" t="str">
        <x:v>USDT</x:v>
      </x:c>
      <x:c r="O110" s="9" t="n">
        <x:v>1789317299999</x:v>
      </x:c>
      <x:c r="P110" s="4" t="b">
        <x:v>0</x:v>
      </x:c>
      <x:c r="Q110" s="4" t="b">
        <x:v>1</x:v>
      </x:c>
      <x:c r="R110" s="4" t="b">
        <x:v>1</x:v>
      </x:c>
      <x:c r="S110" s="4" t="b">
        <x:v>1</x:v>
      </x:c>
      <x:c r="T110" s="4" t="b">
        <x:v>1</x:v>
      </x:c>
      <x:c r="U110" s="4" t="b">
        <x:v>1</x:v>
      </x:c>
      <x:c r="V110" s="10" t="n">
        <x:v>1789317308</x:v>
      </x:c>
      <x:c r="W110" s="3" t="str">
        <x:v>{"side": "BUY", "symbol": "ADAUSDT", "order_id": 8786499318, "quantity": "145.20000000", "price": "0.2065", "quote_amount": "29.98380000", "quote_asset": "USDT", "signal_candle_close_time": 1789317299999, "reason": "strategy buy signal", "entry_conditions": {"rsi_recovered": false, "near_support": true, "trend_ok": true, "reward_ok": true, "stop_risk_ok": true, "momentum_ok": true}, "environment": "production", "recorded_at": 1789317308}</x:v>
      </x:c>
      <x:c r="X110" s="10" t="n">
        <x:v>0</x:v>
      </x:c>
      <x:c r="Y110" s="8" t="n">
        <x:v>46278.69106481481</x:v>
      </x:c>
      <x:c r="Z110" s="3" t="str">
        <x:v>2026-09-13</x:v>
      </x:c>
      <x:c r="AA110" s="3" t="str">
        <x:v>ACTIVE / WEAK</x:v>
      </x:c>
      <x:c r="AB110" s="8" t="n">
        <x:v>46278.81037037037</x:v>
      </x:c>
      <x:c r="AC110" s="10" t="n">
        <x:v>492</x:v>
      </x:c>
      <x:c r="AD110" s="3" t="str">
        <x:v>rsi_recovered</x:v>
      </x:c>
      <x:c r="AE110" s="3"/>
      <x:c r="AF110" s="9"/>
      <x:c r="AG110" s="3"/>
      <x:c r="AH110" s="9"/>
      <x:c r="AI110" s="9"/>
      <x:c r="AJ110" s="3"/>
      <x:c r="AK110" s="9"/>
      <x:c r="AL110" s="3"/>
      <x:c r="AM110" s="3"/>
    </x:row>
    <x:row r="111" ht="21" customHeight="1">
      <x:c r="A111" s="8" t="n">
        <x:v>46278.816099537034</x:v>
      </x:c>
      <x:c r="B111" s="3" t="str">
        <x:v>SOLUSDT</x:v>
      </x:c>
      <x:c r="C111" s="3" t="str">
        <x:v>BUY</x:v>
      </x:c>
      <x:c r="D111" s="3" t="str">
        <x:v>17794185900</x:v>
      </x:c>
      <x:c r="E111" s="9" t="n">
        <x:v>0.298</x:v>
      </x:c>
      <x:c r="F111" s="9" t="n">
        <x:v>100.62</x:v>
      </x:c>
      <x:c r="G111" s="9" t="n">
        <x:v>29.98476</x:v>
      </x:c>
      <x:c r="H111" s="9"/>
      <x:c r="I111" s="3"/>
      <x:c r="J111" s="3" t="str">
        <x:v>gross only; actual fees not recorded</x:v>
      </x:c>
      <x:c r="K111" s="3" t="str">
        <x:v>strategy buy signal</x:v>
      </x:c>
      <x:c r="L111" s="3" t="str">
        <x:v>production</x:v>
      </x:c>
      <x:c r="M111" s="10" t="n">
        <x:v>729</x:v>
      </x:c>
      <x:c r="N111" s="3" t="str">
        <x:v>USDT</x:v>
      </x:c>
      <x:c r="O111" s="9" t="n">
        <x:v>1789317299999</x:v>
      </x:c>
      <x:c r="P111" s="4" t="b">
        <x:v>0</x:v>
      </x:c>
      <x:c r="Q111" s="4" t="b">
        <x:v>1</x:v>
      </x:c>
      <x:c r="R111" s="4" t="b">
        <x:v>1</x:v>
      </x:c>
      <x:c r="S111" s="4" t="b">
        <x:v>1</x:v>
      </x:c>
      <x:c r="T111" s="4" t="b">
        <x:v>1</x:v>
      </x:c>
      <x:c r="U111" s="4" t="b">
        <x:v>1</x:v>
      </x:c>
      <x:c r="V111" s="10" t="n">
        <x:v>1789317311</x:v>
      </x:c>
      <x:c r="W111" s="3" t="str">
        <x:v>{"side": "BUY", "symbol": "SOLUSDT", "order_id": 17794185900, "quantity": "0.29800000", "price": "100.62", "quote_amount": "29.98476000", "quote_asset": "USDT", "signal_candle_close_time": 1789317299999, "reason": "strategy buy signal", "entry_conditions": {"rsi_recovered": false, "near_support": true, "trend_ok": true, "reward_ok": true, "stop_risk_ok": true, "momentum_ok": true}, "environment": "production", "recorded_at": 1789317311}</x:v>
      </x:c>
      <x:c r="X111" s="10" t="n">
        <x:v>0</x:v>
      </x:c>
      <x:c r="Y111" s="8" t="n">
        <x:v>46278.691099537034</x:v>
      </x:c>
      <x:c r="Z111" s="3" t="str">
        <x:v>2026-09-13</x:v>
      </x:c>
      <x:c r="AA111" s="3" t="str">
        <x:v>ACTIVE / WEAK</x:v>
      </x:c>
      <x:c r="AB111" s="8" t="n">
        <x:v>46278.81037037037</x:v>
      </x:c>
      <x:c r="AC111" s="10" t="n">
        <x:v>495</x:v>
      </x:c>
      <x:c r="AD111" s="3" t="str">
        <x:v>rsi_recovered</x:v>
      </x:c>
      <x:c r="AE111" s="3"/>
      <x:c r="AF111" s="9"/>
      <x:c r="AG111" s="3"/>
      <x:c r="AH111" s="9"/>
      <x:c r="AI111" s="9"/>
      <x:c r="AJ111" s="3"/>
      <x:c r="AK111" s="9"/>
      <x:c r="AL111" s="3"/>
      <x:c r="AM111" s="3"/>
    </x:row>
    <x:row r="112" ht="21" customHeight="1">
      <x:c r="A112" s="8" t="n">
        <x:v>46278.83375</x:v>
      </x:c>
      <x:c r="B112" s="3" t="str">
        <x:v>ADAUSDT</x:v>
      </x:c>
      <x:c r="C112" s="3" t="str">
        <x:v>SELL</x:v>
      </x:c>
      <x:c r="D112" s="3" t="str">
        <x:v>8786509231</x:v>
      </x:c>
      <x:c r="E112" s="9" t="n">
        <x:v>145.1</x:v>
      </x:c>
      <x:c r="F112" s="9" t="n">
        <x:v>0.2074</x:v>
      </x:c>
      <x:c r="G112" s="9" t="n">
        <x:v>30.09374</x:v>
      </x:c>
      <x:c r="H112" s="9" t="n">
        <x:v>0.13059</x:v>
      </x:c>
      <x:c r="I112" s="3"/>
      <x:c r="J112" s="3" t="str">
        <x:v>gross only; actual fees not recorded</x:v>
      </x:c>
      <x:c r="K112" s="3" t="str">
        <x:v>RSI sell signal</x:v>
      </x:c>
      <x:c r="L112" s="3" t="str">
        <x:v>production</x:v>
      </x:c>
      <x:c r="M112" s="10" t="n">
        <x:v>730</x:v>
      </x:c>
      <x:c r="N112" s="3" t="str">
        <x:v>USDT</x:v>
      </x:c>
      <x:c r="O112" s="9"/>
      <x:c r="P112" s="3"/>
      <x:c r="Q112" s="3"/>
      <x:c r="R112" s="3"/>
      <x:c r="S112" s="3"/>
      <x:c r="T112" s="3"/>
      <x:c r="U112" s="3"/>
      <x:c r="V112" s="10" t="n">
        <x:v>1789318836</x:v>
      </x:c>
      <x:c r="W112" s="3" t="str">
        <x:v>{"side": "SELL", "symbol": "ADAUSDT", "order_id": 8786509231, "quantity": "145.10000000", "price": "0.2074", "quote_amount": "30.09374000", "quote_asset": "USDT", "reason": "RSI sell signal", "estimated_pnl_usdt": "0.130590000000", "environment": "production", "recorded_at": 1789318836}</x:v>
      </x:c>
      <x:c r="X112" s="10" t="n">
        <x:v>0</x:v>
      </x:c>
      <x:c r="Y112" s="8" t="n">
        <x:v>46278.70875</x:v>
      </x:c>
      <x:c r="Z112" s="3" t="str">
        <x:v>2026-09-13</x:v>
      </x:c>
      <x:c r="AA112" s="3" t="str">
        <x:v>ACTIVE / WEAK</x:v>
      </x:c>
      <x:c r="AB112" s="8" t="n">
        <x:v>46278.831666666665</x:v>
      </x:c>
      <x:c r="AC112" s="10" t="n">
        <x:v>180</x:v>
      </x:c>
      <x:c r="AD112" s="3"/>
      <x:c r="AE112" s="3"/>
      <x:c r="AF112" s="9"/>
      <x:c r="AG112" s="3"/>
      <x:c r="AH112" s="9"/>
      <x:c r="AI112" s="9"/>
      <x:c r="AJ112" s="3"/>
      <x:c r="AK112" s="9"/>
      <x:c r="AL112" s="3"/>
      <x:c r="AM112" s="3"/>
    </x:row>
    <x:row r="113" ht="21" customHeight="1">
      <x:c r="A113" s="8" t="n">
        <x:v>46278.83546296296</x:v>
      </x:c>
      <x:c r="B113" s="3" t="str">
        <x:v>DOGEUSDT</x:v>
      </x:c>
      <x:c r="C113" s="3" t="str">
        <x:v>SELL</x:v>
      </x:c>
      <x:c r="D113" s="3" t="str">
        <x:v>14926587543</x:v>
      </x:c>
      <x:c r="E113" s="9" t="n">
        <x:v>357</x:v>
      </x:c>
      <x:c r="F113" s="9" t="n">
        <x:v>0.08415</x:v>
      </x:c>
      <x:c r="G113" s="9" t="n">
        <x:v>30.04155</x:v>
      </x:c>
      <x:c r="H113" s="9" t="n">
        <x:v>0.12138</x:v>
      </x:c>
      <x:c r="I113" s="3"/>
      <x:c r="J113" s="3" t="str">
        <x:v>gross only; actual fees not recorded</x:v>
      </x:c>
      <x:c r="K113" s="3" t="str">
        <x:v>take profit</x:v>
      </x:c>
      <x:c r="L113" s="3" t="str">
        <x:v>production</x:v>
      </x:c>
      <x:c r="M113" s="10" t="n">
        <x:v>731</x:v>
      </x:c>
      <x:c r="N113" s="3" t="str">
        <x:v>USDT</x:v>
      </x:c>
      <x:c r="O113" s="9"/>
      <x:c r="P113" s="3"/>
      <x:c r="Q113" s="3"/>
      <x:c r="R113" s="3"/>
      <x:c r="S113" s="3"/>
      <x:c r="T113" s="3"/>
      <x:c r="U113" s="3"/>
      <x:c r="V113" s="10" t="n">
        <x:v>1789318984</x:v>
      </x:c>
      <x:c r="W113" s="3" t="str">
        <x:v>{"side": "SELL", "symbol": "DOGEUSDT", "order_id": 14926587543, "quantity": "357.00000000", "price": "0.08415", "quote_amount": "30.04155000", "quote_asset": "USDT", "reason": "take profit", "estimated_pnl_usdt": "0.1213800000000", "environment": "production", "recorded_at": 1789318984}</x:v>
      </x:c>
      <x:c r="X113" s="10" t="n">
        <x:v>0</x:v>
      </x:c>
      <x:c r="Y113" s="8" t="n">
        <x:v>46278.71046296296</x:v>
      </x:c>
      <x:c r="Z113" s="3" t="str">
        <x:v>2026-09-13</x:v>
      </x:c>
      <x:c r="AA113" s="3" t="str">
        <x:v>ACTIVE / WEAK</x:v>
      </x:c>
      <x:c r="AB113" s="8" t="n">
        <x:v>46278.831666666665</x:v>
      </x:c>
      <x:c r="AC113" s="10" t="n">
        <x:v>328</x:v>
      </x:c>
      <x:c r="AD113" s="3"/>
      <x:c r="AE113" s="3"/>
      <x:c r="AF113" s="9"/>
      <x:c r="AG113" s="3"/>
      <x:c r="AH113" s="9"/>
      <x:c r="AI113" s="9"/>
      <x:c r="AJ113" s="3"/>
      <x:c r="AK113" s="9"/>
      <x:c r="AL113" s="3"/>
      <x:c r="AM113" s="3"/>
    </x:row>
    <x:row r="114" ht="21" customHeight="1">
      <x:c r="A114" s="8" t="n">
        <x:v>46278.83719907407</x:v>
      </x:c>
      <x:c r="B114" s="3" t="str">
        <x:v>XRPUSDT</x:v>
      </x:c>
      <x:c r="C114" s="3" t="str">
        <x:v>SELL</x:v>
      </x:c>
      <x:c r="D114" s="3" t="str">
        <x:v>15430864127</x:v>
      </x:c>
      <x:c r="E114" s="9" t="n">
        <x:v>22.1</x:v>
      </x:c>
      <x:c r="F114" s="9" t="n">
        <x:v>1.353</x:v>
      </x:c>
      <x:c r="G114" s="9" t="n">
        <x:v>29.9013</x:v>
      </x:c>
      <x:c r="H114" s="9" t="n">
        <x:v>0.10829</x:v>
      </x:c>
      <x:c r="I114" s="3"/>
      <x:c r="J114" s="3" t="str">
        <x:v>gross only; actual fees not recorded</x:v>
      </x:c>
      <x:c r="K114" s="3" t="str">
        <x:v>take profit</x:v>
      </x:c>
      <x:c r="L114" s="3" t="str">
        <x:v>production</x:v>
      </x:c>
      <x:c r="M114" s="10" t="n">
        <x:v>732</x:v>
      </x:c>
      <x:c r="N114" s="3" t="str">
        <x:v>USDT</x:v>
      </x:c>
      <x:c r="O114" s="9"/>
      <x:c r="P114" s="3"/>
      <x:c r="Q114" s="3"/>
      <x:c r="R114" s="3"/>
      <x:c r="S114" s="3"/>
      <x:c r="T114" s="3"/>
      <x:c r="U114" s="3"/>
      <x:c r="V114" s="10" t="n">
        <x:v>1789319134</x:v>
      </x:c>
      <x:c r="W114" s="3" t="str">
        <x:v>{"side": "SELL", "symbol": "XRPUSDT", "order_id": 15430864127, "quantity": "22.10000000", "price": "1.353", "quote_amount": "29.90130000", "quote_asset": "USDT", "reason": "take profit", "estimated_pnl_usdt": "0.108290000000", "environment": "production", "recorded_at": 1789319134}</x:v>
      </x:c>
      <x:c r="X114" s="10" t="n">
        <x:v>0</x:v>
      </x:c>
      <x:c r="Y114" s="8" t="n">
        <x:v>46278.71219907407</x:v>
      </x:c>
      <x:c r="Z114" s="3" t="str">
        <x:v>2026-09-13</x:v>
      </x:c>
      <x:c r="AA114" s="3" t="str">
        <x:v>ACTIVE / WEAK</x:v>
      </x:c>
      <x:c r="AB114" s="8" t="n">
        <x:v>46278.831666666665</x:v>
      </x:c>
      <x:c r="AC114" s="10" t="n">
        <x:v>478</x:v>
      </x:c>
      <x:c r="AD114" s="3"/>
      <x:c r="AE114" s="3"/>
      <x:c r="AF114" s="9"/>
      <x:c r="AG114" s="3"/>
      <x:c r="AH114" s="9"/>
      <x:c r="AI114" s="9"/>
      <x:c r="AJ114" s="3"/>
      <x:c r="AK114" s="9"/>
      <x:c r="AL114" s="3"/>
      <x:c r="AM114" s="3"/>
    </x:row>
    <x:row r="115" ht="21" customHeight="1">
      <x:c r="A115" s="8" t="n">
        <x:v>46278.83980324074</x:v>
      </x:c>
      <x:c r="B115" s="3" t="str">
        <x:v>SOLUSDT</x:v>
      </x:c>
      <x:c r="C115" s="3" t="str">
        <x:v>SELL</x:v>
      </x:c>
      <x:c r="D115" s="3" t="str">
        <x:v>17794236641</x:v>
      </x:c>
      <x:c r="E115" s="9" t="n">
        <x:v>0.298</x:v>
      </x:c>
      <x:c r="F115" s="9" t="n">
        <x:v>101.02</x:v>
      </x:c>
      <x:c r="G115" s="9" t="n">
        <x:v>30.10396</x:v>
      </x:c>
      <x:c r="H115" s="9" t="n">
        <x:v>0.1192</x:v>
      </x:c>
      <x:c r="I115" s="3"/>
      <x:c r="J115" s="3" t="str">
        <x:v>gross only; actual fees not recorded</x:v>
      </x:c>
      <x:c r="K115" s="3" t="str">
        <x:v>take profit</x:v>
      </x:c>
      <x:c r="L115" s="3" t="str">
        <x:v>production</x:v>
      </x:c>
      <x:c r="M115" s="10" t="n">
        <x:v>733</x:v>
      </x:c>
      <x:c r="N115" s="3" t="str">
        <x:v>USDT</x:v>
      </x:c>
      <x:c r="O115" s="9"/>
      <x:c r="P115" s="3"/>
      <x:c r="Q115" s="3"/>
      <x:c r="R115" s="3"/>
      <x:c r="S115" s="3"/>
      <x:c r="T115" s="3"/>
      <x:c r="U115" s="3"/>
      <x:c r="V115" s="10" t="n">
        <x:v>1789319359</x:v>
      </x:c>
      <x:c r="W115" s="3" t="str">
        <x:v>{"side": "SELL", "symbol": "SOLUSDT", "order_id": 17794236641, "quantity": "0.29800000", "price": "101.02", "quote_amount": "30.10396000", "quote_asset": "USDT", "reason": "take profit", "estimated_pnl_usdt": "0.1192000000", "environment": "production", "recorded_at": 1789319359}</x:v>
      </x:c>
      <x:c r="X115" s="10" t="n">
        <x:v>0</x:v>
      </x:c>
      <x:c r="Y115" s="8" t="n">
        <x:v>46278.71480324074</x:v>
      </x:c>
      <x:c r="Z115" s="3" t="str">
        <x:v>2026-09-13</x:v>
      </x:c>
      <x:c r="AA115" s="3" t="str">
        <x:v>ACTIVE / WEAK</x:v>
      </x:c>
      <x:c r="AB115" s="8" t="n">
        <x:v>46278.831666666665</x:v>
      </x:c>
      <x:c r="AC115" s="10" t="n">
        <x:v>703</x:v>
      </x:c>
      <x:c r="AD115" s="3"/>
      <x:c r="AE115" s="3"/>
      <x:c r="AF115" s="9"/>
      <x:c r="AG115" s="3"/>
      <x:c r="AH115" s="9"/>
      <x:c r="AI115" s="9"/>
      <x:c r="AJ115" s="3"/>
      <x:c r="AK115" s="9"/>
      <x:c r="AL115" s="3"/>
      <x:c r="AM115" s="3"/>
    </x:row>
    <x:row r="116" ht="21" customHeight="1">
      <x:c r="A116" s="8" t="n">
        <x:v>46278.85449074074</x:v>
      </x:c>
      <x:c r="B116" s="3" t="str">
        <x:v>HOLOUSDT</x:v>
      </x:c>
      <x:c r="C116" s="3" t="str">
        <x:v>BUY</x:v>
      </x:c>
      <x:c r="D116" s="3" t="str">
        <x:v>168444625</x:v>
      </x:c>
      <x:c r="E116" s="9" t="n">
        <x:v>480</x:v>
      </x:c>
      <x:c r="F116" s="9" t="n">
        <x:v>0.0625</x:v>
      </x:c>
      <x:c r="G116" s="9" t="n">
        <x:v>30</x:v>
      </x:c>
      <x:c r="H116" s="9"/>
      <x:c r="I116" s="3"/>
      <x:c r="J116" s="3" t="str">
        <x:v>gross only; actual fees not recorded</x:v>
      </x:c>
      <x:c r="K116" s="3" t="str">
        <x:v>strategy buy signal</x:v>
      </x:c>
      <x:c r="L116" s="3" t="str">
        <x:v>production</x:v>
      </x:c>
      <x:c r="M116" s="10" t="n">
        <x:v>734</x:v>
      </x:c>
      <x:c r="N116" s="3" t="str">
        <x:v>USDT</x:v>
      </x:c>
      <x:c r="O116" s="9" t="n">
        <x:v>1789320599999</x:v>
      </x:c>
      <x:c r="P116" s="4" t="b">
        <x:v>0</x:v>
      </x:c>
      <x:c r="Q116" s="4" t="b">
        <x:v>1</x:v>
      </x:c>
      <x:c r="R116" s="4" t="b">
        <x:v>1</x:v>
      </x:c>
      <x:c r="S116" s="4" t="b">
        <x:v>1</x:v>
      </x:c>
      <x:c r="T116" s="4" t="b">
        <x:v>1</x:v>
      </x:c>
      <x:c r="U116" s="4" t="b">
        <x:v>1</x:v>
      </x:c>
      <x:c r="V116" s="10" t="n">
        <x:v>1789320628</x:v>
      </x:c>
      <x:c r="W116" s="3" t="str">
        <x:v>{"side": "BUY", "symbol": "HOLOUSDT", "order_id": 168444625, "quantity": "480.00000000", "price": "0.0625", "quote_amount": "30.00000000", "quote_asset": "USDT", "signal_candle_close_time": 1789320599999, "reason": "strategy buy signal", "entry_conditions": {"rsi_recovered": false, "near_support": true, "trend_ok": true, "reward_ok": true, "stop_risk_ok": true, "momentum_ok": true}, "environment": "production", "recorded_at": 1789320628}</x:v>
      </x:c>
      <x:c r="X116" s="10" t="n">
        <x:v>0</x:v>
      </x:c>
      <x:c r="Y116" s="8" t="n">
        <x:v>46278.72949074074</x:v>
      </x:c>
      <x:c r="Z116" s="3" t="str">
        <x:v>2026-09-13</x:v>
      </x:c>
      <x:c r="AA116" s="3" t="str">
        <x:v>ACTIVE / MIXED</x:v>
      </x:c>
      <x:c r="AB116" s="8" t="n">
        <x:v>46278.852789351855</x:v>
      </x:c>
      <x:c r="AC116" s="10" t="n">
        <x:v>147</x:v>
      </x:c>
      <x:c r="AD116" s="3" t="str">
        <x:v>rsi_recovered</x:v>
      </x:c>
      <x:c r="AE116" s="3"/>
      <x:c r="AF116" s="9"/>
      <x:c r="AG116" s="3"/>
      <x:c r="AH116" s="9"/>
      <x:c r="AI116" s="9"/>
      <x:c r="AJ116" s="3"/>
      <x:c r="AK116" s="9"/>
      <x:c r="AL116" s="3"/>
      <x:c r="AM116" s="3"/>
    </x:row>
    <x:row r="117" ht="21" customHeight="1">
      <x:c r="A117" s="8" t="n">
        <x:v>46278.868472222224</x:v>
      </x:c>
      <x:c r="B117" s="3" t="str">
        <x:v>SOLUSDT</x:v>
      </x:c>
      <x:c r="C117" s="3" t="str">
        <x:v>BUY</x:v>
      </x:c>
      <x:c r="D117" s="3" t="str">
        <x:v>17794316742</x:v>
      </x:c>
      <x:c r="E117" s="9" t="n">
        <x:v>0.297</x:v>
      </x:c>
      <x:c r="F117" s="9" t="n">
        <x:v>100.98</x:v>
      </x:c>
      <x:c r="G117" s="9" t="n">
        <x:v>29.99106</x:v>
      </x:c>
      <x:c r="H117" s="9"/>
      <x:c r="I117" s="3"/>
      <x:c r="J117" s="3" t="str">
        <x:v>gross only; actual fees not recorded</x:v>
      </x:c>
      <x:c r="K117" s="3" t="str">
        <x:v>strategy buy signal</x:v>
      </x:c>
      <x:c r="L117" s="3" t="str">
        <x:v>production</x:v>
      </x:c>
      <x:c r="M117" s="10" t="n">
        <x:v>735</x:v>
      </x:c>
      <x:c r="N117" s="3" t="str">
        <x:v>USDT</x:v>
      </x:c>
      <x:c r="O117" s="9" t="n">
        <x:v>1789321799999</x:v>
      </x:c>
      <x:c r="P117" s="4" t="b">
        <x:v>0</x:v>
      </x:c>
      <x:c r="Q117" s="4" t="b">
        <x:v>1</x:v>
      </x:c>
      <x:c r="R117" s="4" t="b">
        <x:v>1</x:v>
      </x:c>
      <x:c r="S117" s="4" t="b">
        <x:v>1</x:v>
      </x:c>
      <x:c r="T117" s="4" t="b">
        <x:v>1</x:v>
      </x:c>
      <x:c r="U117" s="4" t="b">
        <x:v>1</x:v>
      </x:c>
      <x:c r="V117" s="10" t="n">
        <x:v>1789321836</x:v>
      </x:c>
      <x:c r="W117" s="3" t="str">
        <x:v>{"side": "BUY", "symbol": "SOLUSDT", "order_id": 17794316742, "quantity": "0.29700000", "price": "100.98", "quote_amount": "29.99106000", "quote_asset": "USDT", "signal_candle_close_time": 1789321799999, "reason": "strategy buy signal", "entry_conditions": {"rsi_recovered": false, "near_support": true, "trend_ok": true, "reward_ok": true, "stop_risk_ok": true, "momentum_ok": true}, "environment": "production", "recorded_at": 1789321836}</x:v>
      </x:c>
      <x:c r="X117" s="10" t="n">
        <x:v>0</x:v>
      </x:c>
      <x:c r="Y117" s="8" t="n">
        <x:v>46278.743472222224</x:v>
      </x:c>
      <x:c r="Z117" s="3" t="str">
        <x:v>2026-09-13</x:v>
      </x:c>
      <x:c r="AA117" s="3" t="str">
        <x:v>ACTIVE / MIXED</x:v>
      </x:c>
      <x:c r="AB117" s="8" t="n">
        <x:v>46278.86351851852</x:v>
      </x:c>
      <x:c r="AC117" s="10" t="n">
        <x:v>428</x:v>
      </x:c>
      <x:c r="AD117" s="3" t="str">
        <x:v>rsi_recovered</x:v>
      </x:c>
      <x:c r="AE117" s="3"/>
      <x:c r="AF117" s="9"/>
      <x:c r="AG117" s="3"/>
      <x:c r="AH117" s="9"/>
      <x:c r="AI117" s="9"/>
      <x:c r="AJ117" s="3"/>
      <x:c r="AK117" s="9"/>
      <x:c r="AL117" s="3"/>
      <x:c r="AM117" s="3"/>
    </x:row>
    <x:row r="118" ht="21" customHeight="1">
      <x:c r="A118" s="8" t="n">
        <x:v>46278.87862268519</x:v>
      </x:c>
      <x:c r="B118" s="3" t="str">
        <x:v>BCHUSDT</x:v>
      </x:c>
      <x:c r="C118" s="3" t="str">
        <x:v>BUY</x:v>
      </x:c>
      <x:c r="D118" s="3" t="str">
        <x:v>5500164266</x:v>
      </x:c>
      <x:c r="E118" s="9" t="n">
        <x:v>0.133</x:v>
      </x:c>
      <x:c r="F118" s="9" t="n">
        <x:v>224.1</x:v>
      </x:c>
      <x:c r="G118" s="9" t="n">
        <x:v>29.8053</x:v>
      </x:c>
      <x:c r="H118" s="9"/>
      <x:c r="I118" s="3"/>
      <x:c r="J118" s="3" t="str">
        <x:v>gross only; actual fees not recorded</x:v>
      </x:c>
      <x:c r="K118" s="3" t="str">
        <x:v>strategy buy signal</x:v>
      </x:c>
      <x:c r="L118" s="3" t="str">
        <x:v>production</x:v>
      </x:c>
      <x:c r="M118" s="10" t="n">
        <x:v>736</x:v>
      </x:c>
      <x:c r="N118" s="3" t="str">
        <x:v>USDT</x:v>
      </x:c>
      <x:c r="O118" s="9" t="n">
        <x:v>1789322699999</x:v>
      </x:c>
      <x:c r="P118" s="4" t="b">
        <x:v>0</x:v>
      </x:c>
      <x:c r="Q118" s="4" t="b">
        <x:v>1</x:v>
      </x:c>
      <x:c r="R118" s="4" t="b">
        <x:v>1</x:v>
      </x:c>
      <x:c r="S118" s="4" t="b">
        <x:v>1</x:v>
      </x:c>
      <x:c r="T118" s="4" t="b">
        <x:v>1</x:v>
      </x:c>
      <x:c r="U118" s="4" t="b">
        <x:v>1</x:v>
      </x:c>
      <x:c r="V118" s="10" t="n">
        <x:v>1789322713</x:v>
      </x:c>
      <x:c r="W118" s="3" t="str">
        <x:v>{"side": "BUY", "symbol": "BCHUSDT", "order_id": 5500164266, "quantity": "0.13300000", "price": "224.1", "quote_amount": "29.80530000", "quote_asset": "USDT", "signal_candle_close_time": 1789322699999, "reason": "strategy buy signal", "entry_conditions": {"rsi_recovered": false, "near_support": true, "trend_ok": true, "reward_ok": true, "stop_risk_ok": true, "momentum_ok": true}, "environment": "production", "recorded_at": 1789322713}</x:v>
      </x:c>
      <x:c r="X118" s="10" t="n">
        <x:v>0</x:v>
      </x:c>
      <x:c r="Y118" s="8" t="n">
        <x:v>46278.75362268519</x:v>
      </x:c>
      <x:c r="Z118" s="3" t="str">
        <x:v>2026-09-13</x:v>
      </x:c>
      <x:c r="AA118" s="3" t="str">
        <x:v>ACTIVE / MIXED</x:v>
      </x:c>
      <x:c r="AB118" s="8" t="n">
        <x:v>46278.87399305555</x:v>
      </x:c>
      <x:c r="AC118" s="10" t="n">
        <x:v>400</x:v>
      </x:c>
      <x:c r="AD118" s="3" t="str">
        <x:v>rsi_recovered</x:v>
      </x:c>
      <x:c r="AE118" s="3"/>
      <x:c r="AF118" s="9"/>
      <x:c r="AG118" s="3"/>
      <x:c r="AH118" s="9"/>
      <x:c r="AI118" s="9"/>
      <x:c r="AJ118" s="3"/>
      <x:c r="AK118" s="9"/>
      <x:c r="AL118" s="3"/>
      <x:c r="AM118" s="3"/>
    </x:row>
    <x:row r="119" ht="21" customHeight="1">
      <x:c r="A119" s="8" t="n">
        <x:v>46278.88548611111</x:v>
      </x:c>
      <x:c r="B119" s="3" t="str">
        <x:v>ARBUSDT</x:v>
      </x:c>
      <x:c r="C119" s="3" t="str">
        <x:v>BUY</x:v>
      </x:c>
      <x:c r="D119" s="3" t="str">
        <x:v>3678321974</x:v>
      </x:c>
      <x:c r="E119" s="9" t="n">
        <x:v>214.5</x:v>
      </x:c>
      <x:c r="F119" s="9" t="n">
        <x:v>0.1398</x:v>
      </x:c>
      <x:c r="G119" s="9" t="n">
        <x:v>29.9871</x:v>
      </x:c>
      <x:c r="H119" s="9"/>
      <x:c r="I119" s="3"/>
      <x:c r="J119" s="3" t="str">
        <x:v>gross only; actual fees not recorded</x:v>
      </x:c>
      <x:c r="K119" s="3" t="str">
        <x:v>strategy buy signal</x:v>
      </x:c>
      <x:c r="L119" s="3" t="str">
        <x:v>production</x:v>
      </x:c>
      <x:c r="M119" s="10" t="n">
        <x:v>737</x:v>
      </x:c>
      <x:c r="N119" s="3" t="str">
        <x:v>USDT</x:v>
      </x:c>
      <x:c r="O119" s="9" t="n">
        <x:v>1789323299999</x:v>
      </x:c>
      <x:c r="P119" s="4" t="b">
        <x:v>0</x:v>
      </x:c>
      <x:c r="Q119" s="4" t="b">
        <x:v>1</x:v>
      </x:c>
      <x:c r="R119" s="4" t="b">
        <x:v>1</x:v>
      </x:c>
      <x:c r="S119" s="4" t="b">
        <x:v>1</x:v>
      </x:c>
      <x:c r="T119" s="4" t="b">
        <x:v>1</x:v>
      </x:c>
      <x:c r="U119" s="4" t="b">
        <x:v>1</x:v>
      </x:c>
      <x:c r="V119" s="10" t="n">
        <x:v>1789323306</x:v>
      </x:c>
      <x:c r="W119" s="3" t="str">
        <x:v>{"side": "BUY", "symbol": "ARBUSDT", "order_id": 3678321974, "quantity": "214.50000000", "price": "0.1398", "quote_amount": "29.98710000", "quote_asset": "USDT", "signal_candle_close_time": 1789323299999, "reason": "strategy buy signal", "entry_conditions": {"rsi_recovered": false, "near_support": true, "trend_ok": true, "reward_ok": true, "stop_risk_ok": true, "momentum_ok": true}, "environment": "production", "recorded_at": 1789323306}</x:v>
      </x:c>
      <x:c r="X119" s="10" t="n">
        <x:v>0</x:v>
      </x:c>
      <x:c r="Y119" s="8" t="n">
        <x:v>46278.76048611111</x:v>
      </x:c>
      <x:c r="Z119" s="3" t="str">
        <x:v>2026-09-13</x:v>
      </x:c>
      <x:c r="AA119" s="3" t="str">
        <x:v>ACTIVE / MIXED</x:v>
      </x:c>
      <x:c r="AB119" s="8" t="n">
        <x:v>46278.88452546296</x:v>
      </x:c>
      <x:c r="AC119" s="10" t="n">
        <x:v>83</x:v>
      </x:c>
      <x:c r="AD119" s="3" t="str">
        <x:v>rsi_recovered</x:v>
      </x:c>
      <x:c r="AE119" s="3"/>
      <x:c r="AF119" s="9"/>
      <x:c r="AG119" s="3"/>
      <x:c r="AH119" s="9"/>
      <x:c r="AI119" s="9"/>
      <x:c r="AJ119" s="3"/>
      <x:c r="AK119" s="9"/>
      <x:c r="AL119" s="3"/>
      <x:c r="AM119" s="3"/>
    </x:row>
    <x:row r="120" ht="21" customHeight="1">
      <x:c r="A120" s="8" t="n">
        <x:v>46278.89616898148</x:v>
      </x:c>
      <x:c r="B120" s="3" t="str">
        <x:v>ZECUSDT</x:v>
      </x:c>
      <x:c r="C120" s="3" t="str">
        <x:v>BUY</x:v>
      </x:c>
      <x:c r="D120" s="3" t="str">
        <x:v>6095821655</x:v>
      </x:c>
      <x:c r="E120" s="9" t="n">
        <x:v>0.027</x:v>
      </x:c>
      <x:c r="F120" s="9" t="n">
        <x:v>1106.38</x:v>
      </x:c>
      <x:c r="G120" s="9" t="n">
        <x:v>29.87226</x:v>
      </x:c>
      <x:c r="H120" s="9"/>
      <x:c r="I120" s="3"/>
      <x:c r="J120" s="3" t="str">
        <x:v>gross only; actual fees not recorded</x:v>
      </x:c>
      <x:c r="K120" s="3" t="str">
        <x:v>strategy buy signal</x:v>
      </x:c>
      <x:c r="L120" s="3" t="str">
        <x:v>production</x:v>
      </x:c>
      <x:c r="M120" s="10" t="n">
        <x:v>738</x:v>
      </x:c>
      <x:c r="N120" s="3" t="str">
        <x:v>USDT</x:v>
      </x:c>
      <x:c r="O120" s="9" t="n">
        <x:v>1789324199999</x:v>
      </x:c>
      <x:c r="P120" s="4" t="b">
        <x:v>0</x:v>
      </x:c>
      <x:c r="Q120" s="4" t="b">
        <x:v>1</x:v>
      </x:c>
      <x:c r="R120" s="4" t="b">
        <x:v>1</x:v>
      </x:c>
      <x:c r="S120" s="4" t="b">
        <x:v>1</x:v>
      </x:c>
      <x:c r="T120" s="4" t="b">
        <x:v>1</x:v>
      </x:c>
      <x:c r="U120" s="4" t="b">
        <x:v>1</x:v>
      </x:c>
      <x:c r="V120" s="10" t="n">
        <x:v>1789324229</x:v>
      </x:c>
      <x:c r="W120" s="3" t="str">
        <x:v>{"side": "BUY", "symbol": "ZECUSDT", "order_id": 6095821655, "quantity": "0.02700000", "price": "1106.38", "quote_amount": "29.87226000", "quote_asset": "USDT", "signal_candle_close_time": 1789324199999, "reason": "strategy buy signal", "entry_conditions": {"rsi_recovered": false, "near_support": true, "trend_ok": true, "reward_ok": true, "stop_risk_ok": true, "momentum_ok": true}, "environment": "production", "recorded_at": 1789324229}</x:v>
      </x:c>
      <x:c r="X120" s="10" t="n">
        <x:v>0</x:v>
      </x:c>
      <x:c r="Y120" s="8" t="n">
        <x:v>46278.77116898148</x:v>
      </x:c>
      <x:c r="Z120" s="3" t="str">
        <x:v>2026-09-13</x:v>
      </x:c>
      <x:c r="AA120" s="3" t="str">
        <x:v>ACTIVE / MIXED</x:v>
      </x:c>
      <x:c r="AB120" s="8" t="n">
        <x:v>46278.8953125</x:v>
      </x:c>
      <x:c r="AC120" s="10" t="n">
        <x:v>74</x:v>
      </x:c>
      <x:c r="AD120" s="3" t="str">
        <x:v>rsi_recovered</x:v>
      </x:c>
      <x:c r="AE120" s="3"/>
      <x:c r="AF120" s="9"/>
      <x:c r="AG120" s="3"/>
      <x:c r="AH120" s="9"/>
      <x:c r="AI120" s="9"/>
      <x:c r="AJ120" s="3"/>
      <x:c r="AK120" s="9"/>
      <x:c r="AL120" s="3"/>
      <x:c r="AM120" s="3"/>
    </x:row>
    <x:row r="121" ht="21" customHeight="1">
      <x:c r="A121" s="8" t="n">
        <x:v>46278.902974537035</x:v>
      </x:c>
      <x:c r="B121" s="3" t="str">
        <x:v>NEARUSDT</x:v>
      </x:c>
      <x:c r="C121" s="3" t="str">
        <x:v>BUY</x:v>
      </x:c>
      <x:c r="D121" s="3" t="str">
        <x:v>5125233505</x:v>
      </x:c>
      <x:c r="E121" s="9" t="n">
        <x:v>12.6</x:v>
      </x:c>
      <x:c r="F121" s="9" t="n">
        <x:v>2.363</x:v>
      </x:c>
      <x:c r="G121" s="9" t="n">
        <x:v>29.7738</x:v>
      </x:c>
      <x:c r="H121" s="9"/>
      <x:c r="I121" s="3"/>
      <x:c r="J121" s="3" t="str">
        <x:v>gross only; actual fees not recorded</x:v>
      </x:c>
      <x:c r="K121" s="3" t="str">
        <x:v>strategy buy signal</x:v>
      </x:c>
      <x:c r="L121" s="3" t="str">
        <x:v>production</x:v>
      </x:c>
      <x:c r="M121" s="10" t="n">
        <x:v>739</x:v>
      </x:c>
      <x:c r="N121" s="3" t="str">
        <x:v>USDT</x:v>
      </x:c>
      <x:c r="O121" s="9" t="n">
        <x:v>1789324799999</x:v>
      </x:c>
      <x:c r="P121" s="4" t="b">
        <x:v>1</x:v>
      </x:c>
      <x:c r="Q121" s="4" t="b">
        <x:v>0</x:v>
      </x:c>
      <x:c r="R121" s="4" t="b">
        <x:v>1</x:v>
      </x:c>
      <x:c r="S121" s="4" t="b">
        <x:v>1</x:v>
      </x:c>
      <x:c r="T121" s="4" t="b">
        <x:v>1</x:v>
      </x:c>
      <x:c r="U121" s="4" t="b">
        <x:v>1</x:v>
      </x:c>
      <x:c r="V121" s="10" t="n">
        <x:v>1789324817</x:v>
      </x:c>
      <x:c r="W121" s="3" t="str">
        <x:v>{"side": "BUY", "symbol": "NEARUSDT", "order_id": 5125233505, "quantity": "12.60000000", "price": "2.363", "quote_amount": "29.77380000", "quote_asset": "USDT", "signal_candle_close_time": 1789324799999, "reason": "strategy buy signal", "entry_conditions": {"rsi_recovered": true, "near_support": false, "trend_ok": true, "reward_ok": true, "stop_risk_ok": true, "momentum_ok": true}, "environment": "production", "recorded_at": 1789324817}</x:v>
      </x:c>
      <x:c r="X121" s="10" t="n">
        <x:v>0</x:v>
      </x:c>
      <x:c r="Y121" s="8" t="n">
        <x:v>46278.777974537035</x:v>
      </x:c>
      <x:c r="Z121" s="3" t="str">
        <x:v>2026-09-13</x:v>
      </x:c>
      <x:c r="AA121" s="3" t="str">
        <x:v>ACTIVE / MIXED</x:v>
      </x:c>
      <x:c r="AB121" s="8" t="n">
        <x:v>46278.8953125</x:v>
      </x:c>
      <x:c r="AC121" s="10" t="n">
        <x:v>662</x:v>
      </x:c>
      <x:c r="AD121" s="3" t="str">
        <x:v>near_support</x:v>
      </x:c>
      <x:c r="AE121" s="3"/>
      <x:c r="AF121" s="9"/>
      <x:c r="AG121" s="3"/>
      <x:c r="AH121" s="9"/>
      <x:c r="AI121" s="9"/>
      <x:c r="AJ121" s="3"/>
      <x:c r="AK121" s="9"/>
      <x:c r="AL121" s="3"/>
      <x:c r="AM121" s="3"/>
    </x:row>
    <x:row r="122" ht="21" customHeight="1">
      <x:c r="A122" s="8" t="n">
        <x:v>46278.90640046296</x:v>
      </x:c>
      <x:c r="B122" s="3" t="str">
        <x:v>ARBUSDT</x:v>
      </x:c>
      <x:c r="C122" s="3" t="str">
        <x:v>SELL</x:v>
      </x:c>
      <x:c r="D122" s="3" t="str">
        <x:v>3678335259</x:v>
      </x:c>
      <x:c r="E122" s="9" t="n">
        <x:v>214.2</x:v>
      </x:c>
      <x:c r="F122" s="9" t="n">
        <x:v>0.1388</x:v>
      </x:c>
      <x:c r="G122" s="9" t="n">
        <x:v>29.73096</x:v>
      </x:c>
      <x:c r="H122" s="9" t="n">
        <x:v>-0.2142</x:v>
      </x:c>
      <x:c r="I122" s="3"/>
      <x:c r="J122" s="3" t="str">
        <x:v>gross only; actual fees not recorded</x:v>
      </x:c>
      <x:c r="K122" s="3" t="str">
        <x:v>stop loss</x:v>
      </x:c>
      <x:c r="L122" s="3" t="str">
        <x:v>production</x:v>
      </x:c>
      <x:c r="M122" s="10" t="n">
        <x:v>740</x:v>
      </x:c>
      <x:c r="N122" s="3" t="str">
        <x:v>USDT</x:v>
      </x:c>
      <x:c r="O122" s="9"/>
      <x:c r="P122" s="3"/>
      <x:c r="Q122" s="3"/>
      <x:c r="R122" s="3"/>
      <x:c r="S122" s="3"/>
      <x:c r="T122" s="3"/>
      <x:c r="U122" s="3"/>
      <x:c r="V122" s="10" t="n">
        <x:v>1789325113</x:v>
      </x:c>
      <x:c r="W122" s="3" t="str">
        <x:v>{"side": "SELL", "symbol": "ARBUSDT", "order_id": 3678335259, "quantity": "214.20000000", "price": "0.1388", "quote_amount": "29.73096000", "quote_asset": "USDT", "reason": "stop loss", "estimated_pnl_usdt": "-0.214200000000", "environment": "production", "recorded_at": 1789325113}</x:v>
      </x:c>
      <x:c r="X122" s="10" t="n">
        <x:v>0</x:v>
      </x:c>
      <x:c r="Y122" s="8" t="n">
        <x:v>46278.78140046296</x:v>
      </x:c>
      <x:c r="Z122" s="3" t="str">
        <x:v>2026-09-13</x:v>
      </x:c>
      <x:c r="AA122" s="3" t="str">
        <x:v>ACTIVE / MIXED</x:v>
      </x:c>
      <x:c r="AB122" s="8" t="n">
        <x:v>46278.90586805555</x:v>
      </x:c>
      <x:c r="AC122" s="10" t="n">
        <x:v>46</x:v>
      </x:c>
      <x:c r="AD122" s="3"/>
      <x:c r="AE122" s="3"/>
      <x:c r="AF122" s="9"/>
      <x:c r="AG122" s="3"/>
      <x:c r="AH122" s="9"/>
      <x:c r="AI122" s="9"/>
      <x:c r="AJ122" s="3"/>
      <x:c r="AK122" s="9"/>
      <x:c r="AL122" s="3"/>
      <x:c r="AM122" s="3"/>
    </x:row>
    <x:row r="123" ht="21" customHeight="1">
      <x:c r="A123" s="8" t="n">
        <x:v>46278.90671296296</x:v>
      </x:c>
      <x:c r="B123" s="3" t="str">
        <x:v>ENAUSDT</x:v>
      </x:c>
      <x:c r="C123" s="3" t="str">
        <x:v>BUY</x:v>
      </x:c>
      <x:c r="D123" s="3" t="str">
        <x:v>3402827429</x:v>
      </x:c>
      <x:c r="E123" s="9" t="n">
        <x:v>212.91</x:v>
      </x:c>
      <x:c r="F123" s="9" t="n">
        <x:v>0.1409</x:v>
      </x:c>
      <x:c r="G123" s="9" t="n">
        <x:v>29.999019</x:v>
      </x:c>
      <x:c r="H123" s="9"/>
      <x:c r="I123" s="3"/>
      <x:c r="J123" s="3" t="str">
        <x:v>gross only; actual fees not recorded</x:v>
      </x:c>
      <x:c r="K123" s="3" t="str">
        <x:v>strategy buy signal</x:v>
      </x:c>
      <x:c r="L123" s="3" t="str">
        <x:v>production</x:v>
      </x:c>
      <x:c r="M123" s="10" t="n">
        <x:v>741</x:v>
      </x:c>
      <x:c r="N123" s="3" t="str">
        <x:v>USDT</x:v>
      </x:c>
      <x:c r="O123" s="9" t="n">
        <x:v>1789325099999</x:v>
      </x:c>
      <x:c r="P123" s="4" t="b">
        <x:v>0</x:v>
      </x:c>
      <x:c r="Q123" s="4" t="b">
        <x:v>1</x:v>
      </x:c>
      <x:c r="R123" s="4" t="b">
        <x:v>1</x:v>
      </x:c>
      <x:c r="S123" s="4" t="b">
        <x:v>1</x:v>
      </x:c>
      <x:c r="T123" s="4" t="b">
        <x:v>1</x:v>
      </x:c>
      <x:c r="U123" s="4" t="b">
        <x:v>1</x:v>
      </x:c>
      <x:c r="V123" s="10" t="n">
        <x:v>1789325140</x:v>
      </x:c>
      <x:c r="W123" s="3" t="str">
        <x:v>{"side": "BUY", "symbol": "ENAUSDT", "order_id": 3402827429, "quantity": "212.91000000", "price": "0.1409", "quote_amount": "29.99901900", "quote_asset": "USDT", "signal_candle_close_time": 1789325099999, "reason": "strategy buy signal", "entry_conditions": {"rsi_recovered": false, "near_support": true, "trend_ok": true, "reward_ok": true, "stop_risk_ok": true, "momentum_ok": true}, "environment": "production", "recorded_at": 1789325140}</x:v>
      </x:c>
      <x:c r="X123" s="10" t="n">
        <x:v>0</x:v>
      </x:c>
      <x:c r="Y123" s="8" t="n">
        <x:v>46278.78171296296</x:v>
      </x:c>
      <x:c r="Z123" s="3" t="str">
        <x:v>2026-09-13</x:v>
      </x:c>
      <x:c r="AA123" s="3" t="str">
        <x:v>ACTIVE / MIXED</x:v>
      </x:c>
      <x:c r="AB123" s="8" t="n">
        <x:v>46278.90586805555</x:v>
      </x:c>
      <x:c r="AC123" s="10" t="n">
        <x:v>73</x:v>
      </x:c>
      <x:c r="AD123" s="3" t="str">
        <x:v>rsi_recovered</x:v>
      </x:c>
      <x:c r="AE123" s="3"/>
      <x:c r="AF123" s="9"/>
      <x:c r="AG123" s="3"/>
      <x:c r="AH123" s="9"/>
      <x:c r="AI123" s="9"/>
      <x:c r="AJ123" s="3"/>
      <x:c r="AK123" s="9"/>
      <x:c r="AL123" s="3"/>
      <x:c r="AM123" s="3"/>
    </x:row>
    <x:row r="124" ht="21" customHeight="1">
      <x:c r="A124" s="8" t="n">
        <x:v>46278.927349537036</x:v>
      </x:c>
      <x:c r="B124" s="3" t="str">
        <x:v>NEARUSDT</x:v>
      </x:c>
      <x:c r="C124" s="3" t="str">
        <x:v>SELL</x:v>
      </x:c>
      <x:c r="D124" s="3" t="str">
        <x:v>5125262718</x:v>
      </x:c>
      <x:c r="E124" s="9" t="n">
        <x:v>12.5</x:v>
      </x:c>
      <x:c r="F124" s="9" t="n">
        <x:v>2.339</x:v>
      </x:c>
      <x:c r="G124" s="9" t="n">
        <x:v>29.2375</x:v>
      </x:c>
      <x:c r="H124" s="9" t="n">
        <x:v>-0.3</x:v>
      </x:c>
      <x:c r="I124" s="3"/>
      <x:c r="J124" s="3" t="str">
        <x:v>gross only; actual fees not recorded</x:v>
      </x:c>
      <x:c r="K124" s="3" t="str">
        <x:v>stop loss</x:v>
      </x:c>
      <x:c r="L124" s="3" t="str">
        <x:v>production</x:v>
      </x:c>
      <x:c r="M124" s="10" t="n">
        <x:v>742</x:v>
      </x:c>
      <x:c r="N124" s="3" t="str">
        <x:v>USDT</x:v>
      </x:c>
      <x:c r="O124" s="9"/>
      <x:c r="P124" s="3"/>
      <x:c r="Q124" s="3"/>
      <x:c r="R124" s="3"/>
      <x:c r="S124" s="3"/>
      <x:c r="T124" s="3"/>
      <x:c r="U124" s="3"/>
      <x:c r="V124" s="10" t="n">
        <x:v>1789326923</x:v>
      </x:c>
      <x:c r="W124" s="3" t="str">
        <x:v>{"side": "SELL", "symbol": "NEARUSDT", "order_id": 5125262718, "quantity": "12.50000000", "price": "2.339", "quote_amount": "29.23750000", "quote_asset": "USDT", "reason": "stop loss", "estimated_pnl_usdt": "-0.30000000000", "environment": "production", "recorded_at": 1789326923}</x:v>
      </x:c>
      <x:c r="X124" s="10" t="n">
        <x:v>0</x:v>
      </x:c>
      <x:c r="Y124" s="8" t="n">
        <x:v>46278.802349537036</x:v>
      </x:c>
      <x:c r="Z124" s="3" t="str">
        <x:v>2026-09-13</x:v>
      </x:c>
      <x:c r="AA124" s="3" t="str">
        <x:v>ACTIVE / MIXED</x:v>
      </x:c>
      <x:c r="AB124" s="8" t="n">
        <x:v>46278.92732638889</x:v>
      </x:c>
      <x:c r="AC124" s="10" t="n">
        <x:v>2</x:v>
      </x:c>
      <x:c r="AD124" s="3"/>
      <x:c r="AE124" s="3"/>
      <x:c r="AF124" s="9"/>
      <x:c r="AG124" s="3"/>
      <x:c r="AH124" s="9"/>
      <x:c r="AI124" s="9"/>
      <x:c r="AJ124" s="3"/>
      <x:c r="AK124" s="9"/>
      <x:c r="AL124" s="3"/>
      <x:c r="AM124" s="3"/>
    </x:row>
    <x:row r="125" ht="21" customHeight="1">
      <x:c r="A125" s="8" t="n">
        <x:v>46278.92736111111</x:v>
      </x:c>
      <x:c r="B125" s="3" t="str">
        <x:v>ENAUSDT</x:v>
      </x:c>
      <x:c r="C125" s="3" t="str">
        <x:v>SELL</x:v>
      </x:c>
      <x:c r="D125" s="3" t="str">
        <x:v>3402838945</x:v>
      </x:c>
      <x:c r="E125" s="9" t="n">
        <x:v>212.69</x:v>
      </x:c>
      <x:c r="F125" s="9" t="n">
        <x:v>0.1399</x:v>
      </x:c>
      <x:c r="G125" s="9" t="n">
        <x:v>29.755331</x:v>
      </x:c>
      <x:c r="H125" s="9" t="n">
        <x:v>-0.21269</x:v>
      </x:c>
      <x:c r="I125" s="3"/>
      <x:c r="J125" s="3" t="str">
        <x:v>gross only; actual fees not recorded</x:v>
      </x:c>
      <x:c r="K125" s="3" t="str">
        <x:v>stop loss</x:v>
      </x:c>
      <x:c r="L125" s="3" t="str">
        <x:v>production</x:v>
      </x:c>
      <x:c r="M125" s="10" t="n">
        <x:v>743</x:v>
      </x:c>
      <x:c r="N125" s="3" t="str">
        <x:v>USDT</x:v>
      </x:c>
      <x:c r="O125" s="9"/>
      <x:c r="P125" s="3"/>
      <x:c r="Q125" s="3"/>
      <x:c r="R125" s="3"/>
      <x:c r="S125" s="3"/>
      <x:c r="T125" s="3"/>
      <x:c r="U125" s="3"/>
      <x:c r="V125" s="10" t="n">
        <x:v>1789326924</x:v>
      </x:c>
      <x:c r="W125" s="3" t="str">
        <x:v>{"side": "SELL", "symbol": "ENAUSDT", "order_id": 3402838945, "quantity": "212.69000000", "price": "0.1399", "quote_amount": "29.75533100", "quote_asset": "USDT", "reason": "stop loss", "estimated_pnl_usdt": "-0.212690000000", "environment": "production", "recorded_at": 1789326924}</x:v>
      </x:c>
      <x:c r="X125" s="10" t="n">
        <x:v>0</x:v>
      </x:c>
      <x:c r="Y125" s="8" t="n">
        <x:v>46278.80236111111</x:v>
      </x:c>
      <x:c r="Z125" s="3" t="str">
        <x:v>2026-09-13</x:v>
      </x:c>
      <x:c r="AA125" s="3" t="str">
        <x:v>ACTIVE / MIXED</x:v>
      </x:c>
      <x:c r="AB125" s="8" t="n">
        <x:v>46278.92732638889</x:v>
      </x:c>
      <x:c r="AC125" s="10" t="n">
        <x:v>3</x:v>
      </x:c>
      <x:c r="AD125" s="3"/>
      <x:c r="AE125" s="3"/>
      <x:c r="AF125" s="9"/>
      <x:c r="AG125" s="3"/>
      <x:c r="AH125" s="9"/>
      <x:c r="AI125" s="9"/>
      <x:c r="AJ125" s="3"/>
      <x:c r="AK125" s="9"/>
      <x:c r="AL125" s="3"/>
      <x:c r="AM125" s="3"/>
    </x:row>
    <x:row r="126" ht="21" customHeight="1">
      <x:c r="A126" s="8" t="n">
        <x:v>46278.92738425926</x:v>
      </x:c>
      <x:c r="B126" s="3" t="str">
        <x:v>SUIUSDT</x:v>
      </x:c>
      <x:c r="C126" s="3" t="str">
        <x:v>BUY</x:v>
      </x:c>
      <x:c r="D126" s="3" t="str">
        <x:v>8850211153</x:v>
      </x:c>
      <x:c r="E126" s="9" t="n">
        <x:v>41.5</x:v>
      </x:c>
      <x:c r="F126" s="9" t="n">
        <x:v>0.7213</x:v>
      </x:c>
      <x:c r="G126" s="9" t="n">
        <x:v>29.93395</x:v>
      </x:c>
      <x:c r="H126" s="9"/>
      <x:c r="I126" s="3"/>
      <x:c r="J126" s="3" t="str">
        <x:v>gross only; actual fees not recorded</x:v>
      </x:c>
      <x:c r="K126" s="3" t="str">
        <x:v>strategy buy signal</x:v>
      </x:c>
      <x:c r="L126" s="3" t="str">
        <x:v>production</x:v>
      </x:c>
      <x:c r="M126" s="10" t="n">
        <x:v>744</x:v>
      </x:c>
      <x:c r="N126" s="3" t="str">
        <x:v>USDT</x:v>
      </x:c>
      <x:c r="O126" s="9" t="n">
        <x:v>1789326899999</x:v>
      </x:c>
      <x:c r="P126" s="4" t="b">
        <x:v>0</x:v>
      </x:c>
      <x:c r="Q126" s="4" t="b">
        <x:v>1</x:v>
      </x:c>
      <x:c r="R126" s="4" t="b">
        <x:v>1</x:v>
      </x:c>
      <x:c r="S126" s="4" t="b">
        <x:v>1</x:v>
      </x:c>
      <x:c r="T126" s="4" t="b">
        <x:v>1</x:v>
      </x:c>
      <x:c r="U126" s="4" t="b">
        <x:v>1</x:v>
      </x:c>
      <x:c r="V126" s="10" t="n">
        <x:v>1789326926</x:v>
      </x:c>
      <x:c r="W126" s="3" t="str">
        <x:v>{"side": "BUY", "symbol": "SUIUSDT", "order_id": 8850211153, "quantity": "41.50000000", "price": "0.7213", "quote_amount": "29.93395000", "quote_asset": "USDT", "signal_candle_close_time": 1789326899999, "reason": "strategy buy signal", "entry_conditions": {"rsi_recovered": false, "near_support": true, "trend_ok": true, "reward_ok": true, "stop_risk_ok": true, "momentum_ok": true}, "environment": "production", "recorded_at": 1789326926}</x:v>
      </x:c>
      <x:c r="X126" s="10" t="n">
        <x:v>0</x:v>
      </x:c>
      <x:c r="Y126" s="8" t="n">
        <x:v>46278.80238425926</x:v>
      </x:c>
      <x:c r="Z126" s="3" t="str">
        <x:v>2026-09-13</x:v>
      </x:c>
      <x:c r="AA126" s="3" t="str">
        <x:v>ACTIVE / MIXED</x:v>
      </x:c>
      <x:c r="AB126" s="8" t="n">
        <x:v>46278.92732638889</x:v>
      </x:c>
      <x:c r="AC126" s="10" t="n">
        <x:v>5</x:v>
      </x:c>
      <x:c r="AD126" s="3" t="str">
        <x:v>rsi_recovered</x:v>
      </x:c>
      <x:c r="AE126" s="3"/>
      <x:c r="AF126" s="9"/>
      <x:c r="AG126" s="3"/>
      <x:c r="AH126" s="9"/>
      <x:c r="AI126" s="9"/>
      <x:c r="AJ126" s="3"/>
      <x:c r="AK126" s="9"/>
      <x:c r="AL126" s="3"/>
      <x:c r="AM126" s="3"/>
    </x:row>
    <x:row r="127" ht="21" customHeight="1">
      <x:c r="A127" s="8" t="n">
        <x:v>46278.92743055556</x:v>
      </x:c>
      <x:c r="B127" s="3" t="str">
        <x:v>HOLOUSDT</x:v>
      </x:c>
      <x:c r="C127" s="3" t="str">
        <x:v>SELL</x:v>
      </x:c>
      <x:c r="D127" s="3" t="str">
        <x:v>168479940</x:v>
      </x:c>
      <x:c r="E127" s="9" t="n">
        <x:v>479.5</x:v>
      </x:c>
      <x:c r="F127" s="9" t="n">
        <x:v>0.0621</x:v>
      </x:c>
      <x:c r="G127" s="9" t="n">
        <x:v>29.77695</x:v>
      </x:c>
      <x:c r="H127" s="9" t="n">
        <x:v>-0.1918</x:v>
      </x:c>
      <x:c r="I127" s="3"/>
      <x:c r="J127" s="3" t="str">
        <x:v>gross only; actual fees not recorded</x:v>
      </x:c>
      <x:c r="K127" s="3" t="str">
        <x:v>stop loss</x:v>
      </x:c>
      <x:c r="L127" s="3" t="str">
        <x:v>production</x:v>
      </x:c>
      <x:c r="M127" s="10" t="n">
        <x:v>745</x:v>
      </x:c>
      <x:c r="N127" s="3" t="str">
        <x:v>USDT</x:v>
      </x:c>
      <x:c r="O127" s="9"/>
      <x:c r="P127" s="3"/>
      <x:c r="Q127" s="3"/>
      <x:c r="R127" s="3"/>
      <x:c r="S127" s="3"/>
      <x:c r="T127" s="3"/>
      <x:c r="U127" s="3"/>
      <x:c r="V127" s="10" t="n">
        <x:v>1789326930</x:v>
      </x:c>
      <x:c r="W127" s="3" t="str">
        <x:v>{"side": "SELL", "symbol": "HOLOUSDT", "order_id": 168479940, "quantity": "479.50000000", "price": "0.0621", "quote_amount": "29.77695000", "quote_asset": "USDT", "reason": "stop loss", "estimated_pnl_usdt": "-0.191800000000", "environment": "production", "recorded_at": 1789326930}</x:v>
      </x:c>
      <x:c r="X127" s="10" t="n">
        <x:v>0</x:v>
      </x:c>
      <x:c r="Y127" s="8" t="n">
        <x:v>46278.80243055556</x:v>
      </x:c>
      <x:c r="Z127" s="3" t="str">
        <x:v>2026-09-13</x:v>
      </x:c>
      <x:c r="AA127" s="3" t="str">
        <x:v>ACTIVE / MIXED</x:v>
      </x:c>
      <x:c r="AB127" s="8" t="n">
        <x:v>46278.92732638889</x:v>
      </x:c>
      <x:c r="AC127" s="10" t="n">
        <x:v>9</x:v>
      </x:c>
      <x:c r="AD127" s="3"/>
      <x:c r="AE127" s="3"/>
      <x:c r="AF127" s="9"/>
      <x:c r="AG127" s="3"/>
      <x:c r="AH127" s="9"/>
      <x:c r="AI127" s="9"/>
      <x:c r="AJ127" s="3"/>
      <x:c r="AK127" s="9"/>
      <x:c r="AL127" s="3"/>
      <x:c r="AM127" s="3"/>
    </x:row>
    <x:row r="128" ht="21" customHeight="1">
      <x:c r="A128" s="8" t="n">
        <x:v>46278.93069444445</x:v>
      </x:c>
      <x:c r="B128" s="3" t="str">
        <x:v>XRPUSDT</x:v>
      </x:c>
      <x:c r="C128" s="3" t="str">
        <x:v>BUY</x:v>
      </x:c>
      <x:c r="D128" s="3" t="str">
        <x:v>15431127950</x:v>
      </x:c>
      <x:c r="E128" s="9" t="n">
        <x:v>22.1</x:v>
      </x:c>
      <x:c r="F128" s="9" t="n">
        <x:v>1.3542</x:v>
      </x:c>
      <x:c r="G128" s="9" t="n">
        <x:v>29.92782</x:v>
      </x:c>
      <x:c r="H128" s="9"/>
      <x:c r="I128" s="3"/>
      <x:c r="J128" s="3" t="str">
        <x:v>gross only; actual fees not recorded</x:v>
      </x:c>
      <x:c r="K128" s="3" t="str">
        <x:v>strategy buy signal</x:v>
      </x:c>
      <x:c r="L128" s="3" t="str">
        <x:v>production</x:v>
      </x:c>
      <x:c r="M128" s="10" t="n">
        <x:v>746</x:v>
      </x:c>
      <x:c r="N128" s="3" t="str">
        <x:v>USDT</x:v>
      </x:c>
      <x:c r="O128" s="9" t="n">
        <x:v>1789327199999</x:v>
      </x:c>
      <x:c r="P128" s="4" t="b">
        <x:v>0</x:v>
      </x:c>
      <x:c r="Q128" s="4" t="b">
        <x:v>1</x:v>
      </x:c>
      <x:c r="R128" s="4" t="b">
        <x:v>1</x:v>
      </x:c>
      <x:c r="S128" s="4" t="b">
        <x:v>1</x:v>
      </x:c>
      <x:c r="T128" s="4" t="b">
        <x:v>1</x:v>
      </x:c>
      <x:c r="U128" s="4" t="b">
        <x:v>1</x:v>
      </x:c>
      <x:c r="V128" s="10" t="n">
        <x:v>1789327212</x:v>
      </x:c>
      <x:c r="W128" s="3" t="str">
        <x:v>{"side": "BUY", "symbol": "XRPUSDT", "order_id": 15431127950, "quantity": "22.10000000", "price": "1.3542", "quote_amount": "29.92782000", "quote_asset": "USDT", "signal_candle_close_time": 1789327199999, "reason": "strategy buy signal", "entry_conditions": {"rsi_recovered": false, "near_support": true, "trend_ok": true, "reward_ok": true, "stop_risk_ok": true, "momentum_ok": true}, "environment": "production", "recorded_at": 1789327212}</x:v>
      </x:c>
      <x:c r="X128" s="10" t="n">
        <x:v>0</x:v>
      </x:c>
      <x:c r="Y128" s="8" t="n">
        <x:v>46278.80569444445</x:v>
      </x:c>
      <x:c r="Z128" s="3" t="str">
        <x:v>2026-09-13</x:v>
      </x:c>
      <x:c r="AA128" s="3" t="str">
        <x:v>ACTIVE / MIXED</x:v>
      </x:c>
      <x:c r="AB128" s="8" t="n">
        <x:v>46278.92732638889</x:v>
      </x:c>
      <x:c r="AC128" s="10" t="n">
        <x:v>291</x:v>
      </x:c>
      <x:c r="AD128" s="3" t="str">
        <x:v>rsi_recovered</x:v>
      </x:c>
      <x:c r="AE128" s="3"/>
      <x:c r="AF128" s="9"/>
      <x:c r="AG128" s="3"/>
      <x:c r="AH128" s="9"/>
      <x:c r="AI128" s="9"/>
      <x:c r="AJ128" s="3"/>
      <x:c r="AK128" s="9"/>
      <x:c r="AL128" s="3"/>
      <x:c r="AM128" s="3"/>
    </x:row>
    <x:row r="129" ht="21" customHeight="1">
      <x:c r="A129" s="8" t="n">
        <x:v>46278.93071759259</x:v>
      </x:c>
      <x:c r="B129" s="3" t="str">
        <x:v>TAOUSDT</x:v>
      </x:c>
      <x:c r="C129" s="3" t="str">
        <x:v>BUY</x:v>
      </x:c>
      <x:c r="D129" s="3" t="str">
        <x:v>2569812346</x:v>
      </x:c>
      <x:c r="E129" s="9" t="n">
        <x:v>0.127</x:v>
      </x:c>
      <x:c r="F129" s="9" t="n">
        <x:v>236.1</x:v>
      </x:c>
      <x:c r="G129" s="9" t="n">
        <x:v>29.9847</x:v>
      </x:c>
      <x:c r="H129" s="9"/>
      <x:c r="I129" s="3"/>
      <x:c r="J129" s="3" t="str">
        <x:v>gross only; actual fees not recorded</x:v>
      </x:c>
      <x:c r="K129" s="3" t="str">
        <x:v>strategy buy signal</x:v>
      </x:c>
      <x:c r="L129" s="3" t="str">
        <x:v>production</x:v>
      </x:c>
      <x:c r="M129" s="10" t="n">
        <x:v>747</x:v>
      </x:c>
      <x:c r="N129" s="3" t="str">
        <x:v>USDT</x:v>
      </x:c>
      <x:c r="O129" s="9" t="n">
        <x:v>1789327199999</x:v>
      </x:c>
      <x:c r="P129" s="4" t="b">
        <x:v>0</x:v>
      </x:c>
      <x:c r="Q129" s="4" t="b">
        <x:v>1</x:v>
      </x:c>
      <x:c r="R129" s="4" t="b">
        <x:v>1</x:v>
      </x:c>
      <x:c r="S129" s="4" t="b">
        <x:v>1</x:v>
      </x:c>
      <x:c r="T129" s="4" t="b">
        <x:v>1</x:v>
      </x:c>
      <x:c r="U129" s="4" t="b">
        <x:v>1</x:v>
      </x:c>
      <x:c r="V129" s="10" t="n">
        <x:v>1789327214</x:v>
      </x:c>
      <x:c r="W129" s="3" t="str">
        <x:v>{"side": "BUY", "symbol": "TAOUSDT", "order_id": 2569812346, "quantity": "0.12700000", "price": "236.1", "quote_amount": "29.98470000", "quote_asset": "USDT", "signal_candle_close_time": 1789327199999, "reason": "strategy buy signal", "entry_conditions": {"rsi_recovered": false, "near_support": true, "trend_ok": true, "reward_ok": true, "stop_risk_ok": true, "momentum_ok": true}, "environment": "production", "recorded_at": 1789327214}</x:v>
      </x:c>
      <x:c r="X129" s="10" t="n">
        <x:v>0</x:v>
      </x:c>
      <x:c r="Y129" s="8" t="n">
        <x:v>46278.80571759259</x:v>
      </x:c>
      <x:c r="Z129" s="3" t="str">
        <x:v>2026-09-13</x:v>
      </x:c>
      <x:c r="AA129" s="3" t="str">
        <x:v>ACTIVE / MIXED</x:v>
      </x:c>
      <x:c r="AB129" s="8" t="n">
        <x:v>46278.92732638889</x:v>
      </x:c>
      <x:c r="AC129" s="10" t="n">
        <x:v>293</x:v>
      </x:c>
      <x:c r="AD129" s="3" t="str">
        <x:v>rsi_recovered</x:v>
      </x:c>
      <x:c r="AE129" s="3"/>
      <x:c r="AF129" s="9"/>
      <x:c r="AG129" s="3"/>
      <x:c r="AH129" s="9"/>
      <x:c r="AI129" s="9"/>
      <x:c r="AJ129" s="3"/>
      <x:c r="AK129" s="9"/>
      <x:c r="AL129" s="3"/>
      <x:c r="AM129" s="3"/>
    </x:row>
    <x:row r="130" ht="21" customHeight="1">
      <x:c r="A130" s="8" t="n">
        <x:v>46278.93790509259</x:v>
      </x:c>
      <x:c r="B130" s="3" t="str">
        <x:v>ZECUSDT</x:v>
      </x:c>
      <x:c r="C130" s="3" t="str">
        <x:v>SELL</x:v>
      </x:c>
      <x:c r="D130" s="3" t="str">
        <x:v>6096122513</x:v>
      </x:c>
      <x:c r="E130" s="9" t="n">
        <x:v>0.026</x:v>
      </x:c>
      <x:c r="F130" s="9" t="n">
        <x:v>1097.21</x:v>
      </x:c>
      <x:c r="G130" s="9" t="n">
        <x:v>28.52746</x:v>
      </x:c>
      <x:c r="H130" s="9" t="n">
        <x:v>-0.23842</x:v>
      </x:c>
      <x:c r="I130" s="3"/>
      <x:c r="J130" s="3" t="str">
        <x:v>gross only; actual fees not recorded</x:v>
      </x:c>
      <x:c r="K130" s="3" t="str">
        <x:v>stop loss</x:v>
      </x:c>
      <x:c r="L130" s="3" t="str">
        <x:v>production</x:v>
      </x:c>
      <x:c r="M130" s="10" t="n">
        <x:v>748</x:v>
      </x:c>
      <x:c r="N130" s="3" t="str">
        <x:v>USDT</x:v>
      </x:c>
      <x:c r="O130" s="9"/>
      <x:c r="P130" s="3"/>
      <x:c r="Q130" s="3"/>
      <x:c r="R130" s="3"/>
      <x:c r="S130" s="3"/>
      <x:c r="T130" s="3"/>
      <x:c r="U130" s="3"/>
      <x:c r="V130" s="10" t="n">
        <x:v>1789327835</x:v>
      </x:c>
      <x:c r="W130" s="3" t="str">
        <x:v>{"side": "SELL", "symbol": "ZECUSDT", "order_id": 6096122513, "quantity": "0.02600000", "price": "1097.21", "quote_amount": "28.52746000", "quote_asset": "USDT", "reason": "stop loss", "estimated_pnl_usdt": "-0.2384200000", "environment": "production", "recorded_at": 1789327835}</x:v>
      </x:c>
      <x:c r="X130" s="10" t="n">
        <x:v>0</x:v>
      </x:c>
      <x:c r="Y130" s="8" t="n">
        <x:v>46278.81290509259</x:v>
      </x:c>
      <x:c r="Z130" s="3" t="str">
        <x:v>2026-09-13</x:v>
      </x:c>
      <x:c r="AA130" s="3" t="str">
        <x:v>ACTIVE / MIXED</x:v>
      </x:c>
      <x:c r="AB130" s="8" t="n">
        <x:v>46278.93787037037</x:v>
      </x:c>
      <x:c r="AC130" s="10" t="n">
        <x:v>3</x:v>
      </x:c>
      <x:c r="AD130" s="3"/>
      <x:c r="AE130" s="3"/>
      <x:c r="AF130" s="9"/>
      <x:c r="AG130" s="3"/>
      <x:c r="AH130" s="9"/>
      <x:c r="AI130" s="9"/>
      <x:c r="AJ130" s="3"/>
      <x:c r="AK130" s="9"/>
      <x:c r="AL130" s="3"/>
      <x:c r="AM130" s="3"/>
    </x:row>
    <x:row r="131" ht="21" customHeight="1">
      <x:c r="A131" s="8" t="n">
        <x:v>46278.937951388885</x:v>
      </x:c>
      <x:c r="B131" s="3" t="str">
        <x:v>ADAUSDT</x:v>
      </x:c>
      <x:c r="C131" s="3" t="str">
        <x:v>BUY</x:v>
      </x:c>
      <x:c r="D131" s="3" t="str">
        <x:v>8786567168</x:v>
      </x:c>
      <x:c r="E131" s="9" t="n">
        <x:v>143.7</x:v>
      </x:c>
      <x:c r="F131" s="9" t="n">
        <x:v>0.2087</x:v>
      </x:c>
      <x:c r="G131" s="9" t="n">
        <x:v>29.99019</x:v>
      </x:c>
      <x:c r="H131" s="9"/>
      <x:c r="I131" s="3"/>
      <x:c r="J131" s="3" t="str">
        <x:v>gross only; actual fees not recorded</x:v>
      </x:c>
      <x:c r="K131" s="3" t="str">
        <x:v>strategy buy signal</x:v>
      </x:c>
      <x:c r="L131" s="3" t="str">
        <x:v>production</x:v>
      </x:c>
      <x:c r="M131" s="10" t="n">
        <x:v>749</x:v>
      </x:c>
      <x:c r="N131" s="3" t="str">
        <x:v>USDT</x:v>
      </x:c>
      <x:c r="O131" s="9" t="n">
        <x:v>1789327799999</x:v>
      </x:c>
      <x:c r="P131" s="4" t="b">
        <x:v>0</x:v>
      </x:c>
      <x:c r="Q131" s="4" t="b">
        <x:v>1</x:v>
      </x:c>
      <x:c r="R131" s="4" t="b">
        <x:v>1</x:v>
      </x:c>
      <x:c r="S131" s="4" t="b">
        <x:v>1</x:v>
      </x:c>
      <x:c r="T131" s="4" t="b">
        <x:v>1</x:v>
      </x:c>
      <x:c r="U131" s="4" t="b">
        <x:v>1</x:v>
      </x:c>
      <x:c r="V131" s="10" t="n">
        <x:v>1789327839</x:v>
      </x:c>
      <x:c r="W131" s="3" t="str">
        <x:v>{"side": "BUY", "symbol": "ADAUSDT", "order_id": 8786567168, "quantity": "143.70000000", "price": "0.2087", "quote_amount": "29.99019000", "quote_asset": "USDT", "signal_candle_close_time": 1789327799999, "reason": "strategy buy signal", "entry_conditions": {"rsi_recovered": false, "near_support": true, "trend_ok": true, "reward_ok": true, "stop_risk_ok": true, "momentum_ok": true}, "environment": "production", "recorded_at": 1789327839}</x:v>
      </x:c>
      <x:c r="X131" s="10" t="n">
        <x:v>0</x:v>
      </x:c>
      <x:c r="Y131" s="8" t="n">
        <x:v>46278.812951388885</x:v>
      </x:c>
      <x:c r="Z131" s="3" t="str">
        <x:v>2026-09-13</x:v>
      </x:c>
      <x:c r="AA131" s="3" t="str">
        <x:v>ACTIVE / MIXED</x:v>
      </x:c>
      <x:c r="AB131" s="8" t="n">
        <x:v>46278.93787037037</x:v>
      </x:c>
      <x:c r="AC131" s="10" t="n">
        <x:v>7</x:v>
      </x:c>
      <x:c r="AD131" s="3" t="str">
        <x:v>rsi_recovered</x:v>
      </x:c>
      <x:c r="AE131" s="3"/>
      <x:c r="AF131" s="9"/>
      <x:c r="AG131" s="3"/>
      <x:c r="AH131" s="9"/>
      <x:c r="AI131" s="9"/>
      <x:c r="AJ131" s="3"/>
      <x:c r="AK131" s="9"/>
      <x:c r="AL131" s="3"/>
      <x:c r="AM131" s="3"/>
    </x:row>
    <x:row r="132" ht="21" customHeight="1">
      <x:c r="A132" s="8" t="n">
        <x:v>46278.94451388889</x:v>
      </x:c>
      <x:c r="B132" s="3" t="str">
        <x:v>TAOUSDT</x:v>
      </x:c>
      <x:c r="C132" s="3" t="str">
        <x:v>SELL</x:v>
      </x:c>
      <x:c r="D132" s="3" t="str">
        <x:v>2569826865</x:v>
      </x:c>
      <x:c r="E132" s="9" t="n">
        <x:v>0.1268</x:v>
      </x:c>
      <x:c r="F132" s="9" t="n">
        <x:v>234.5</x:v>
      </x:c>
      <x:c r="G132" s="9" t="n">
        <x:v>29.7346</x:v>
      </x:c>
      <x:c r="H132" s="9" t="n">
        <x:v>-0.20288</x:v>
      </x:c>
      <x:c r="I132" s="3"/>
      <x:c r="J132" s="3" t="str">
        <x:v>gross only; actual fees not recorded</x:v>
      </x:c>
      <x:c r="K132" s="3" t="str">
        <x:v>stop loss</x:v>
      </x:c>
      <x:c r="L132" s="3" t="str">
        <x:v>production</x:v>
      </x:c>
      <x:c r="M132" s="10" t="n">
        <x:v>750</x:v>
      </x:c>
      <x:c r="N132" s="3" t="str">
        <x:v>USDT</x:v>
      </x:c>
      <x:c r="O132" s="9"/>
      <x:c r="P132" s="3"/>
      <x:c r="Q132" s="3"/>
      <x:c r="R132" s="3"/>
      <x:c r="S132" s="3"/>
      <x:c r="T132" s="3"/>
      <x:c r="U132" s="3"/>
      <x:c r="V132" s="10" t="n">
        <x:v>1789328406</x:v>
      </x:c>
      <x:c r="W132" s="3" t="str">
        <x:v>{"side": "SELL", "symbol": "TAOUSDT", "order_id": 2569826865, "quantity": "0.12680000", "price": "234.5", "quote_amount": "29.73460000", "quote_asset": "USDT", "reason": "stop loss", "estimated_pnl_usdt": "-0.202880000", "environment": "production", "recorded_at": 1789328406}</x:v>
      </x:c>
      <x:c r="X132" s="10" t="n">
        <x:v>0</x:v>
      </x:c>
      <x:c r="Y132" s="8" t="n">
        <x:v>46278.81951388889</x:v>
      </x:c>
      <x:c r="Z132" s="3" t="str">
        <x:v>2026-09-13</x:v>
      </x:c>
      <x:c r="AA132" s="3" t="str">
        <x:v>ACTIVE / MIXED</x:v>
      </x:c>
      <x:c r="AB132" s="8" t="n">
        <x:v>46278.93787037037</x:v>
      </x:c>
      <x:c r="AC132" s="10" t="n">
        <x:v>574</x:v>
      </x:c>
      <x:c r="AD132" s="3"/>
      <x:c r="AE132" s="3"/>
      <x:c r="AF132" s="9"/>
      <x:c r="AG132" s="3"/>
      <x:c r="AH132" s="9"/>
      <x:c r="AI132" s="9"/>
      <x:c r="AJ132" s="3"/>
      <x:c r="AK132" s="9"/>
      <x:c r="AL132" s="3"/>
      <x:c r="AM132" s="3"/>
    </x:row>
    <x:row r="133" ht="21" customHeight="1">
      <x:c r="A133" s="8" t="n">
        <x:v>46278.94453703704</x:v>
      </x:c>
      <x:c r="B133" s="3" t="str">
        <x:v>LTCUSDT</x:v>
      </x:c>
      <x:c r="C133" s="3" t="str">
        <x:v>BUY</x:v>
      </x:c>
      <x:c r="D133" s="3" t="str">
        <x:v>7421419184</x:v>
      </x:c>
      <x:c r="E133" s="9" t="n">
        <x:v>0.547</x:v>
      </x:c>
      <x:c r="F133" s="9" t="n">
        <x:v>54.77</x:v>
      </x:c>
      <x:c r="G133" s="9" t="n">
        <x:v>29.95919</x:v>
      </x:c>
      <x:c r="H133" s="9"/>
      <x:c r="I133" s="3"/>
      <x:c r="J133" s="3" t="str">
        <x:v>gross only; actual fees not recorded</x:v>
      </x:c>
      <x:c r="K133" s="3" t="str">
        <x:v>strategy buy signal</x:v>
      </x:c>
      <x:c r="L133" s="3" t="str">
        <x:v>production</x:v>
      </x:c>
      <x:c r="M133" s="10" t="n">
        <x:v>751</x:v>
      </x:c>
      <x:c r="N133" s="3" t="str">
        <x:v>USDT</x:v>
      </x:c>
      <x:c r="O133" s="9" t="n">
        <x:v>1789328399999</x:v>
      </x:c>
      <x:c r="P133" s="4" t="b">
        <x:v>1</x:v>
      </x:c>
      <x:c r="Q133" s="4" t="b">
        <x:v>1</x:v>
      </x:c>
      <x:c r="R133" s="4" t="b">
        <x:v>0</x:v>
      </x:c>
      <x:c r="S133" s="4" t="b">
        <x:v>1</x:v>
      </x:c>
      <x:c r="T133" s="4" t="b">
        <x:v>1</x:v>
      </x:c>
      <x:c r="U133" s="4" t="b">
        <x:v>1</x:v>
      </x:c>
      <x:c r="V133" s="10" t="n">
        <x:v>1789328408</x:v>
      </x:c>
      <x:c r="W133" s="3" t="str">
        <x:v>{"side": "BUY", "symbol": "LTCUSDT", "order_id": 7421419184, "quantity": "0.54700000", "price": "54.77", "quote_amount": "29.95919000", "quote_asset": "USDT", "signal_candle_close_time": 1789328399999, "reason": "strategy buy signal", "entry_conditions": {"rsi_recovered": true, "near_support": true, "trend_ok": false, "reward_ok": true, "stop_risk_ok": true, "momentum_ok": true}, "environment": "production", "recorded_at": 1789328408}</x:v>
      </x:c>
      <x:c r="X133" s="10" t="n">
        <x:v>0</x:v>
      </x:c>
      <x:c r="Y133" s="8" t="n">
        <x:v>46278.81953703704</x:v>
      </x:c>
      <x:c r="Z133" s="3" t="str">
        <x:v>2026-09-13</x:v>
      </x:c>
      <x:c r="AA133" s="3" t="str">
        <x:v>ACTIVE / MIXED</x:v>
      </x:c>
      <x:c r="AB133" s="8" t="n">
        <x:v>46278.93787037037</x:v>
      </x:c>
      <x:c r="AC133" s="10" t="n">
        <x:v>576</x:v>
      </x:c>
      <x:c r="AD133" s="3" t="str">
        <x:v>trend_ok</x:v>
      </x:c>
      <x:c r="AE133" s="3"/>
      <x:c r="AF133" s="9"/>
      <x:c r="AG133" s="3"/>
      <x:c r="AH133" s="9"/>
      <x:c r="AI133" s="9"/>
      <x:c r="AJ133" s="3"/>
      <x:c r="AK133" s="9"/>
      <x:c r="AL133" s="3"/>
      <x:c r="AM133" s="3"/>
    </x:row>
    <x:row r="134" ht="21" customHeight="1">
      <x:c r="A134" s="8" t="n">
        <x:v>46278.951689814814</x:v>
      </x:c>
      <x:c r="B134" s="3" t="str">
        <x:v>SUIUSDT</x:v>
      </x:c>
      <x:c r="C134" s="3" t="str">
        <x:v>SELL</x:v>
      </x:c>
      <x:c r="D134" s="3" t="str">
        <x:v>8850238218</x:v>
      </x:c>
      <x:c r="E134" s="9" t="n">
        <x:v>41.5</x:v>
      </x:c>
      <x:c r="F134" s="9" t="n">
        <x:v>0.7183</x:v>
      </x:c>
      <x:c r="G134" s="9" t="n">
        <x:v>29.80945</x:v>
      </x:c>
      <x:c r="H134" s="9" t="n">
        <x:v>-0.1245</x:v>
      </x:c>
      <x:c r="I134" s="3"/>
      <x:c r="J134" s="3" t="str">
        <x:v>gross only; actual fees not recorded</x:v>
      </x:c>
      <x:c r="K134" s="3" t="str">
        <x:v>stop loss</x:v>
      </x:c>
      <x:c r="L134" s="3" t="str">
        <x:v>production</x:v>
      </x:c>
      <x:c r="M134" s="10" t="n">
        <x:v>752</x:v>
      </x:c>
      <x:c r="N134" s="3" t="str">
        <x:v>USDT</x:v>
      </x:c>
      <x:c r="O134" s="9"/>
      <x:c r="P134" s="3"/>
      <x:c r="Q134" s="3"/>
      <x:c r="R134" s="3"/>
      <x:c r="S134" s="3"/>
      <x:c r="T134" s="3"/>
      <x:c r="U134" s="3"/>
      <x:c r="V134" s="10" t="n">
        <x:v>1789329026</x:v>
      </x:c>
      <x:c r="W134" s="3" t="str">
        <x:v>{"side": "SELL", "symbol": "SUIUSDT", "order_id": 8850238218, "quantity": "41.50000000", "price": "0.7183", "quote_amount": "29.80945000", "quote_asset": "USDT", "reason": "stop loss", "estimated_pnl_usdt": "-0.124500000000", "environment": "production", "recorded_at": 1789329026}</x:v>
      </x:c>
      <x:c r="X134" s="10" t="n">
        <x:v>0</x:v>
      </x:c>
      <x:c r="Y134" s="8" t="n">
        <x:v>46278.826689814814</x:v>
      </x:c>
      <x:c r="Z134" s="3" t="str">
        <x:v>2026-09-13</x:v>
      </x:c>
      <x:c r="AA134" s="3" t="str">
        <x:v>ACTIVE / MIXED</x:v>
      </x:c>
      <x:c r="AB134" s="8" t="n">
        <x:v>46278.94840277778</x:v>
      </x:c>
      <x:c r="AC134" s="10" t="n">
        <x:v>284</x:v>
      </x:c>
      <x:c r="AD134" s="3"/>
      <x:c r="AE134" s="3"/>
      <x:c r="AF134" s="9"/>
      <x:c r="AG134" s="3"/>
      <x:c r="AH134" s="9"/>
      <x:c r="AI134" s="9"/>
      <x:c r="AJ134" s="3"/>
      <x:c r="AK134" s="9"/>
      <x:c r="AL134" s="3"/>
      <x:c r="AM134" s="3"/>
    </x:row>
    <x:row r="135" ht="21" customHeight="1">
      <x:c r="A135" s="8" t="n">
        <x:v>46278.96565972222</x:v>
      </x:c>
      <x:c r="B135" s="3" t="str">
        <x:v>LINKUSDT</x:v>
      </x:c>
      <x:c r="C135" s="3" t="str">
        <x:v>BUY</x:v>
      </x:c>
      <x:c r="D135" s="3" t="str">
        <x:v>8009569868</x:v>
      </x:c>
      <x:c r="E135" s="9" t="n">
        <x:v>2.62</x:v>
      </x:c>
      <x:c r="F135" s="9" t="n">
        <x:v>11.447</x:v>
      </x:c>
      <x:c r="G135" s="9" t="n">
        <x:v>29.99114</x:v>
      </x:c>
      <x:c r="H135" s="9"/>
      <x:c r="I135" s="3"/>
      <x:c r="J135" s="3" t="str">
        <x:v>gross only; actual fees not recorded</x:v>
      </x:c>
      <x:c r="K135" s="3" t="str">
        <x:v>strategy buy signal</x:v>
      </x:c>
      <x:c r="L135" s="3" t="str">
        <x:v>production</x:v>
      </x:c>
      <x:c r="M135" s="10" t="n">
        <x:v>753</x:v>
      </x:c>
      <x:c r="N135" s="3" t="str">
        <x:v>USDT</x:v>
      </x:c>
      <x:c r="O135" s="9" t="n">
        <x:v>1789330199999</x:v>
      </x:c>
      <x:c r="P135" s="4" t="b">
        <x:v>1</x:v>
      </x:c>
      <x:c r="Q135" s="4" t="b">
        <x:v>1</x:v>
      </x:c>
      <x:c r="R135" s="4" t="b">
        <x:v>0</x:v>
      </x:c>
      <x:c r="S135" s="4" t="b">
        <x:v>1</x:v>
      </x:c>
      <x:c r="T135" s="4" t="b">
        <x:v>1</x:v>
      </x:c>
      <x:c r="U135" s="4" t="b">
        <x:v>1</x:v>
      </x:c>
      <x:c r="V135" s="10" t="n">
        <x:v>1789330233</x:v>
      </x:c>
      <x:c r="W135" s="3" t="str">
        <x:v>{"side": "BUY", "symbol": "LINKUSDT", "order_id": 8009569868, "quantity": "2.62000000", "price": "11.447", "quote_amount": "29.99114000", "quote_asset": "USDT", "signal_candle_close_time": 1789330199999, "reason": "strategy buy signal", "entry_conditions": {"rsi_recovered": true, "near_support": true, "trend_ok": false, "reward_ok": true, "stop_risk_ok": true, "momentum_ok": true}, "environment": "production", "recorded_at": 1789330233}</x:v>
      </x:c>
      <x:c r="X135" s="10" t="n">
        <x:v>0</x:v>
      </x:c>
      <x:c r="Y135" s="8" t="n">
        <x:v>46278.84065972222</x:v>
      </x:c>
      <x:c r="Z135" s="3" t="str">
        <x:v>2026-09-13</x:v>
      </x:c>
      <x:c r="AA135" s="3" t="str">
        <x:v>ACTIVE / MIXED</x:v>
      </x:c>
      <x:c r="AB135" s="8" t="n">
        <x:v>46278.95921296296</x:v>
      </x:c>
      <x:c r="AC135" s="10" t="n">
        <x:v>557</x:v>
      </x:c>
      <x:c r="AD135" s="3" t="str">
        <x:v>trend_ok</x:v>
      </x:c>
      <x:c r="AE135" s="3"/>
      <x:c r="AF135" s="9"/>
      <x:c r="AG135" s="3"/>
      <x:c r="AH135" s="9"/>
      <x:c r="AI135" s="9"/>
      <x:c r="AJ135" s="3"/>
      <x:c r="AK135" s="9"/>
      <x:c r="AL135" s="3"/>
      <x:c r="AM135" s="3"/>
    </x:row>
    <x:row r="136" ht="21" customHeight="1">
      <x:c r="A136" s="8" t="n">
        <x:v>46278.97217592593</x:v>
      </x:c>
      <x:c r="B136" s="3" t="str">
        <x:v>LTCUSDT</x:v>
      </x:c>
      <x:c r="C136" s="3" t="str">
        <x:v>SELL</x:v>
      </x:c>
      <x:c r="D136" s="3" t="str">
        <x:v>7421436844</x:v>
      </x:c>
      <x:c r="E136" s="9" t="n">
        <x:v>0.546</x:v>
      </x:c>
      <x:c r="F136" s="9" t="n">
        <x:v>54.99</x:v>
      </x:c>
      <x:c r="G136" s="9" t="n">
        <x:v>30.02454</x:v>
      </x:c>
      <x:c r="H136" s="9" t="n">
        <x:v>0.12012</x:v>
      </x:c>
      <x:c r="I136" s="3"/>
      <x:c r="J136" s="3" t="str">
        <x:v>gross only; actual fees not recorded</x:v>
      </x:c>
      <x:c r="K136" s="3" t="str">
        <x:v>take profit</x:v>
      </x:c>
      <x:c r="L136" s="3" t="str">
        <x:v>production</x:v>
      </x:c>
      <x:c r="M136" s="10" t="n">
        <x:v>754</x:v>
      </x:c>
      <x:c r="N136" s="3" t="str">
        <x:v>USDT</x:v>
      </x:c>
      <x:c r="O136" s="9"/>
      <x:c r="P136" s="3"/>
      <x:c r="Q136" s="3"/>
      <x:c r="R136" s="3"/>
      <x:c r="S136" s="3"/>
      <x:c r="T136" s="3"/>
      <x:c r="U136" s="3"/>
      <x:c r="V136" s="10" t="n">
        <x:v>1789330796</x:v>
      </x:c>
      <x:c r="W136" s="3" t="str">
        <x:v>{"side": "SELL", "symbol": "LTCUSDT", "order_id": 7421436844, "quantity": "0.54600000", "price": "54.99", "quote_amount": "30.02454000", "quote_asset": "USDT", "reason": "take profit", "estimated_pnl_usdt": "0.1201200000", "environment": "production", "recorded_at": 1789330796}</x:v>
      </x:c>
      <x:c r="X136" s="10" t="n">
        <x:v>0</x:v>
      </x:c>
      <x:c r="Y136" s="8" t="n">
        <x:v>46278.84717592593</x:v>
      </x:c>
      <x:c r="Z136" s="3" t="str">
        <x:v>2026-09-13</x:v>
      </x:c>
      <x:c r="AA136" s="3" t="str">
        <x:v>ACTIVE / MIXED</x:v>
      </x:c>
      <x:c r="AB136" s="8" t="n">
        <x:v>46278.96984953704</x:v>
      </x:c>
      <x:c r="AC136" s="10" t="n">
        <x:v>201</x:v>
      </x:c>
      <x:c r="AD136" s="3"/>
      <x:c r="AE136" s="3"/>
      <x:c r="AF136" s="9"/>
      <x:c r="AG136" s="3"/>
      <x:c r="AH136" s="9"/>
      <x:c r="AI136" s="9"/>
      <x:c r="AJ136" s="3"/>
      <x:c r="AK136" s="9"/>
      <x:c r="AL136" s="3"/>
      <x:c r="AM136" s="3"/>
    </x:row>
    <x:row r="137" ht="21" customHeight="1">
      <x:c r="A137" s="8" t="n">
        <x:v>46278.972291666665</x:v>
      </x:c>
      <x:c r="B137" s="3" t="str">
        <x:v>BNBUSDT</x:v>
      </x:c>
      <x:c r="C137" s="3" t="str">
        <x:v>BUY</x:v>
      </x:c>
      <x:c r="D137" s="3" t="str">
        <x:v>12596273212</x:v>
      </x:c>
      <x:c r="E137" s="9" t="n">
        <x:v>0.041</x:v>
      </x:c>
      <x:c r="F137" s="9" t="n">
        <x:v>721.89</x:v>
      </x:c>
      <x:c r="G137" s="9" t="n">
        <x:v>29.59749</x:v>
      </x:c>
      <x:c r="H137" s="9"/>
      <x:c r="I137" s="3"/>
      <x:c r="J137" s="3" t="str">
        <x:v>gross only; actual fees not recorded</x:v>
      </x:c>
      <x:c r="K137" s="3" t="str">
        <x:v>strategy buy signal</x:v>
      </x:c>
      <x:c r="L137" s="3" t="str">
        <x:v>production</x:v>
      </x:c>
      <x:c r="M137" s="10" t="n">
        <x:v>755</x:v>
      </x:c>
      <x:c r="N137" s="3" t="str">
        <x:v>USDT</x:v>
      </x:c>
      <x:c r="O137" s="9" t="n">
        <x:v>1789330799999</x:v>
      </x:c>
      <x:c r="P137" s="4" t="b">
        <x:v>1</x:v>
      </x:c>
      <x:c r="Q137" s="4" t="b">
        <x:v>1</x:v>
      </x:c>
      <x:c r="R137" s="4" t="b">
        <x:v>1</x:v>
      </x:c>
      <x:c r="S137" s="4" t="b">
        <x:v>0</x:v>
      </x:c>
      <x:c r="T137" s="4" t="b">
        <x:v>1</x:v>
      </x:c>
      <x:c r="U137" s="4" t="b">
        <x:v>1</x:v>
      </x:c>
      <x:c r="V137" s="10" t="n">
        <x:v>1789330806</x:v>
      </x:c>
      <x:c r="W137" s="3" t="str">
        <x:v>{"side": "BUY", "symbol": "BNBUSDT", "order_id": 12596273212, "quantity": "0.04100000", "price": "721.89", "quote_amount": "29.59749000", "quote_asset": "USDT", "signal_candle_close_time": 1789330799999, "reason": "strategy buy signal", "entry_conditions": {"rsi_recovered": true, "near_support": true, "trend_ok": true, "reward_ok": false, "stop_risk_ok": true, "momentum_ok": true}, "environment": "production", "recorded_at": 1789330806}</x:v>
      </x:c>
      <x:c r="X137" s="10" t="n">
        <x:v>0</x:v>
      </x:c>
      <x:c r="Y137" s="8" t="n">
        <x:v>46278.847291666665</x:v>
      </x:c>
      <x:c r="Z137" s="3" t="str">
        <x:v>2026-09-13</x:v>
      </x:c>
      <x:c r="AA137" s="3" t="str">
        <x:v>ACTIVE / MIXED</x:v>
      </x:c>
      <x:c r="AB137" s="8" t="n">
        <x:v>46278.96984953704</x:v>
      </x:c>
      <x:c r="AC137" s="10" t="n">
        <x:v>211</x:v>
      </x:c>
      <x:c r="AD137" s="3" t="str">
        <x:v>reward_ok</x:v>
      </x:c>
      <x:c r="AE137" s="3"/>
      <x:c r="AF137" s="9"/>
      <x:c r="AG137" s="3"/>
      <x:c r="AH137" s="9"/>
      <x:c r="AI137" s="9"/>
      <x:c r="AJ137" s="3"/>
      <x:c r="AK137" s="9"/>
      <x:c r="AL137" s="3"/>
      <x:c r="AM137" s="3"/>
    </x:row>
    <x:row r="138" ht="21" customHeight="1">
      <x:c r="A138" s="8" t="n">
        <x:v>46278.976805555554</x:v>
      </x:c>
      <x:c r="B138" s="3" t="str">
        <x:v>SOLUSDT</x:v>
      </x:c>
      <x:c r="C138" s="3" t="str">
        <x:v>SELL</x:v>
      </x:c>
      <x:c r="D138" s="3" t="str">
        <x:v>17794510150</x:v>
      </x:c>
      <x:c r="E138" s="9" t="n">
        <x:v>0.297</x:v>
      </x:c>
      <x:c r="F138" s="9" t="n">
        <x:v>101.37</x:v>
      </x:c>
      <x:c r="G138" s="9" t="n">
        <x:v>30.10689</x:v>
      </x:c>
      <x:c r="H138" s="9" t="n">
        <x:v>0.11583</x:v>
      </x:c>
      <x:c r="I138" s="3"/>
      <x:c r="J138" s="3" t="str">
        <x:v>gross only; actual fees not recorded</x:v>
      </x:c>
      <x:c r="K138" s="3" t="str">
        <x:v>take profit</x:v>
      </x:c>
      <x:c r="L138" s="3" t="str">
        <x:v>production</x:v>
      </x:c>
      <x:c r="M138" s="10" t="n">
        <x:v>756</x:v>
      </x:c>
      <x:c r="N138" s="3" t="str">
        <x:v>USDT</x:v>
      </x:c>
      <x:c r="O138" s="9"/>
      <x:c r="P138" s="3"/>
      <x:c r="Q138" s="3"/>
      <x:c r="R138" s="3"/>
      <x:c r="S138" s="3"/>
      <x:c r="T138" s="3"/>
      <x:c r="U138" s="3"/>
      <x:c r="V138" s="10" t="n">
        <x:v>1789331196</x:v>
      </x:c>
      <x:c r="W138" s="3" t="str">
        <x:v>{"side": "SELL", "symbol": "SOLUSDT", "order_id": 17794510150, "quantity": "0.29700000", "price": "101.37", "quote_amount": "30.10689000", "quote_asset": "USDT", "reason": "take profit", "estimated_pnl_usdt": "0.1158300000", "environment": "production", "recorded_at": 1789331196}</x:v>
      </x:c>
      <x:c r="X138" s="10" t="n">
        <x:v>0</x:v>
      </x:c>
      <x:c r="Y138" s="8" t="n">
        <x:v>46278.851805555554</x:v>
      </x:c>
      <x:c r="Z138" s="3" t="str">
        <x:v>2026-09-13</x:v>
      </x:c>
      <x:c r="AA138" s="3" t="str">
        <x:v>ACTIVE / MIXED</x:v>
      </x:c>
      <x:c r="AB138" s="8" t="n">
        <x:v>46278.96984953704</x:v>
      </x:c>
      <x:c r="AC138" s="10" t="n">
        <x:v>601</x:v>
      </x:c>
      <x:c r="AD138" s="3"/>
      <x:c r="AE138" s="3"/>
      <x:c r="AF138" s="9"/>
      <x:c r="AG138" s="3"/>
      <x:c r="AH138" s="9"/>
      <x:c r="AI138" s="9"/>
      <x:c r="AJ138" s="3"/>
      <x:c r="AK138" s="9"/>
      <x:c r="AL138" s="3"/>
      <x:c r="AM138" s="3"/>
    </x:row>
    <x:row r="139" ht="21" customHeight="1">
      <x:c r="A139" s="8" t="n">
        <x:v>46278.97708333333</x:v>
      </x:c>
      <x:c r="B139" s="3" t="str">
        <x:v>LTCUSDT</x:v>
      </x:c>
      <x:c r="C139" s="3" t="str">
        <x:v>BUY</x:v>
      </x:c>
      <x:c r="D139" s="3" t="str">
        <x:v>7421442159</x:v>
      </x:c>
      <x:c r="E139" s="9" t="n">
        <x:v>0.545</x:v>
      </x:c>
      <x:c r="F139" s="9" t="n">
        <x:v>54.98</x:v>
      </x:c>
      <x:c r="G139" s="9" t="n">
        <x:v>29.9641</x:v>
      </x:c>
      <x:c r="H139" s="9"/>
      <x:c r="I139" s="3"/>
      <x:c r="J139" s="3" t="str">
        <x:v>gross only; actual fees not recorded</x:v>
      </x:c>
      <x:c r="K139" s="3" t="str">
        <x:v>strategy buy signal</x:v>
      </x:c>
      <x:c r="L139" s="3" t="str">
        <x:v>production</x:v>
      </x:c>
      <x:c r="M139" s="10" t="n">
        <x:v>757</x:v>
      </x:c>
      <x:c r="N139" s="3" t="str">
        <x:v>USDT</x:v>
      </x:c>
      <x:c r="O139" s="9" t="n">
        <x:v>1789331099999</x:v>
      </x:c>
      <x:c r="P139" s="4" t="b">
        <x:v>0</x:v>
      </x:c>
      <x:c r="Q139" s="4" t="b">
        <x:v>1</x:v>
      </x:c>
      <x:c r="R139" s="4" t="b">
        <x:v>1</x:v>
      </x:c>
      <x:c r="S139" s="4" t="b">
        <x:v>1</x:v>
      </x:c>
      <x:c r="T139" s="4" t="b">
        <x:v>1</x:v>
      </x:c>
      <x:c r="U139" s="4" t="b">
        <x:v>1</x:v>
      </x:c>
      <x:c r="V139" s="10" t="n">
        <x:v>1789331220</x:v>
      </x:c>
      <x:c r="W139" s="3" t="str">
        <x:v>{"side": "BUY", "symbol": "LTCUSDT", "order_id": 7421442159, "quantity": "0.54500000", "price": "54.98", "quote_amount": "29.96410000", "quote_asset": "USDT", "signal_candle_close_time": 1789331099999, "reason": "strategy buy signal", "entry_conditions": {"rsi_recovered": false, "near_support": true, "trend_ok": true, "reward_ok": true, "stop_risk_ok": true, "momentum_ok": true}, "environment": "production", "recorded_at": 1789331220}</x:v>
      </x:c>
      <x:c r="X139" s="10" t="n">
        <x:v>0</x:v>
      </x:c>
      <x:c r="Y139" s="8" t="n">
        <x:v>46278.85208333333</x:v>
      </x:c>
      <x:c r="Z139" s="3" t="str">
        <x:v>2026-09-13</x:v>
      </x:c>
      <x:c r="AA139" s="3" t="str">
        <x:v>ACTIVE / MIXED</x:v>
      </x:c>
      <x:c r="AB139" s="8" t="n">
        <x:v>46278.96984953704</x:v>
      </x:c>
      <x:c r="AC139" s="10" t="n">
        <x:v>625</x:v>
      </x:c>
      <x:c r="AD139" s="3" t="str">
        <x:v>rsi_recovered</x:v>
      </x:c>
      <x:c r="AE139" s="3"/>
      <x:c r="AF139" s="9"/>
      <x:c r="AG139" s="3"/>
      <x:c r="AH139" s="9"/>
      <x:c r="AI139" s="9"/>
      <x:c r="AJ139" s="3"/>
      <x:c r="AK139" s="9"/>
      <x:c r="AL139" s="3"/>
      <x:c r="AM139" s="3"/>
    </x:row>
    <x:row r="140" ht="21" customHeight="1">
      <x:c r="A140" s="8" t="n">
        <x:v>46278.98065972222</x:v>
      </x:c>
      <x:c r="B140" s="3" t="str">
        <x:v>XRPUSDT</x:v>
      </x:c>
      <x:c r="C140" s="3" t="str">
        <x:v>SELL</x:v>
      </x:c>
      <x:c r="D140" s="3" t="str">
        <x:v>15431198288</x:v>
      </x:c>
      <x:c r="E140" s="9" t="n">
        <x:v>22.1</x:v>
      </x:c>
      <x:c r="F140" s="9" t="n">
        <x:v>1.3594</x:v>
      </x:c>
      <x:c r="G140" s="9" t="n">
        <x:v>30.04274</x:v>
      </x:c>
      <x:c r="H140" s="9" t="n">
        <x:v>0.11492</x:v>
      </x:c>
      <x:c r="I140" s="3"/>
      <x:c r="J140" s="3" t="str">
        <x:v>gross only; actual fees not recorded</x:v>
      </x:c>
      <x:c r="K140" s="3" t="str">
        <x:v>take profit</x:v>
      </x:c>
      <x:c r="L140" s="3" t="str">
        <x:v>production</x:v>
      </x:c>
      <x:c r="M140" s="10" t="n">
        <x:v>758</x:v>
      </x:c>
      <x:c r="N140" s="3" t="str">
        <x:v>USDT</x:v>
      </x:c>
      <x:c r="O140" s="9"/>
      <x:c r="P140" s="3"/>
      <x:c r="Q140" s="3"/>
      <x:c r="R140" s="3"/>
      <x:c r="S140" s="3"/>
      <x:c r="T140" s="3"/>
      <x:c r="U140" s="3"/>
      <x:c r="V140" s="10" t="n">
        <x:v>1789331529</x:v>
      </x:c>
      <x:c r="W140" s="3" t="str">
        <x:v>{"side": "SELL", "symbol": "XRPUSDT", "order_id": 15431198288, "quantity": "22.10000000", "price": "1.3594", "quote_amount": "30.04274000", "quote_asset": "USDT", "reason": "take profit", "estimated_pnl_usdt": "0.114920000000", "environment": "production", "recorded_at": 1789331529}</x:v>
      </x:c>
      <x:c r="X140" s="10" t="n">
        <x:v>0</x:v>
      </x:c>
      <x:c r="Y140" s="8" t="n">
        <x:v>46278.85565972222</x:v>
      </x:c>
      <x:c r="Z140" s="3" t="str">
        <x:v>2026-09-13</x:v>
      </x:c>
      <x:c r="AA140" s="3" t="str">
        <x:v>ACTIVE / MIXED</x:v>
      </x:c>
      <x:c r="AB140" s="8" t="n">
        <x:v>46278.98045138889</x:v>
      </x:c>
      <x:c r="AC140" s="10" t="n">
        <x:v>18</x:v>
      </x:c>
      <x:c r="AD140" s="3"/>
      <x:c r="AE140" s="3"/>
      <x:c r="AF140" s="9"/>
      <x:c r="AG140" s="3"/>
      <x:c r="AH140" s="9"/>
      <x:c r="AI140" s="9"/>
      <x:c r="AJ140" s="3"/>
      <x:c r="AK140" s="9"/>
      <x:c r="AL140" s="3"/>
      <x:c r="AM140" s="3"/>
    </x:row>
    <x:row r="141" ht="21" customHeight="1">
      <x:c r="A141" s="8" t="n">
        <x:v>46279.00378472222</x:v>
      </x:c>
      <x:c r="B141" s="3" t="str">
        <x:v>LTCUSDT</x:v>
      </x:c>
      <x:c r="C141" s="3" t="str">
        <x:v>SELL</x:v>
      </x:c>
      <x:c r="D141" s="3" t="str">
        <x:v>7421458075</x:v>
      </x:c>
      <x:c r="E141" s="9" t="n">
        <x:v>0.545</x:v>
      </x:c>
      <x:c r="F141" s="9" t="n">
        <x:v>54.82</x:v>
      </x:c>
      <x:c r="G141" s="9" t="n">
        <x:v>29.8769</x:v>
      </x:c>
      <x:c r="H141" s="9" t="n">
        <x:v>-0.0872</x:v>
      </x:c>
      <x:c r="I141" s="3"/>
      <x:c r="J141" s="3" t="str">
        <x:v>gross only; actual fees not recorded</x:v>
      </x:c>
      <x:c r="K141" s="3" t="str">
        <x:v>stop loss</x:v>
      </x:c>
      <x:c r="L141" s="3" t="str">
        <x:v>production</x:v>
      </x:c>
      <x:c r="M141" s="10" t="n">
        <x:v>759</x:v>
      </x:c>
      <x:c r="N141" s="3" t="str">
        <x:v>USDT</x:v>
      </x:c>
      <x:c r="O141" s="9"/>
      <x:c r="P141" s="3"/>
      <x:c r="Q141" s="3"/>
      <x:c r="R141" s="3"/>
      <x:c r="S141" s="3"/>
      <x:c r="T141" s="3"/>
      <x:c r="U141" s="3"/>
      <x:c r="V141" s="10" t="n">
        <x:v>1789333527</x:v>
      </x:c>
      <x:c r="W141" s="3" t="str">
        <x:v>{"side": "SELL", "symbol": "LTCUSDT", "order_id": 7421458075, "quantity": "0.54500000", "price": "54.82", "quote_amount": "29.87690000", "quote_asset": "USDT", "reason": "stop loss", "estimated_pnl_usdt": "-0.0872000000", "environment": "production", "recorded_at": 1789333527}</x:v>
      </x:c>
      <x:c r="X141" s="10" t="n">
        <x:v>0</x:v>
      </x:c>
      <x:c r="Y141" s="8" t="n">
        <x:v>46278.87878472222</x:v>
      </x:c>
      <x:c r="Z141" s="3" t="str">
        <x:v>2026-09-14</x:v>
      </x:c>
      <x:c r="AA141" s="3" t="str">
        <x:v>ACTIVE / MIXED</x:v>
      </x:c>
      <x:c r="AB141" s="8" t="n">
        <x:v>46279.00170138889</x:v>
      </x:c>
      <x:c r="AC141" s="10" t="n">
        <x:v>180</x:v>
      </x:c>
      <x:c r="AD141" s="3"/>
      <x:c r="AE141" s="3"/>
      <x:c r="AF141" s="9"/>
      <x:c r="AG141" s="3"/>
      <x:c r="AH141" s="9"/>
      <x:c r="AI141" s="9"/>
      <x:c r="AJ141" s="3"/>
      <x:c r="AK141" s="9"/>
      <x:c r="AL141" s="3"/>
      <x:c r="AM141" s="3"/>
    </x:row>
    <x:row r="142" ht="21" customHeight="1">
      <x:c r="A142" s="8" t="n">
        <x:v>46279.004166666666</x:v>
      </x:c>
      <x:c r="B142" s="3" t="str">
        <x:v>LTCUSDT</x:v>
      </x:c>
      <x:c r="C142" s="3" t="str">
        <x:v>BUY</x:v>
      </x:c>
      <x:c r="D142" s="3" t="str">
        <x:v>7421458504</x:v>
      </x:c>
      <x:c r="E142" s="9" t="n">
        <x:v>0.547</x:v>
      </x:c>
      <x:c r="F142" s="9" t="n">
        <x:v>54.82</x:v>
      </x:c>
      <x:c r="G142" s="9" t="n">
        <x:v>29.98654</x:v>
      </x:c>
      <x:c r="H142" s="9"/>
      <x:c r="I142" s="3"/>
      <x:c r="J142" s="3" t="str">
        <x:v>gross only; actual fees not recorded</x:v>
      </x:c>
      <x:c r="K142" s="3" t="str">
        <x:v>strategy buy signal</x:v>
      </x:c>
      <x:c r="L142" s="3" t="str">
        <x:v>production</x:v>
      </x:c>
      <x:c r="M142" s="10" t="n">
        <x:v>760</x:v>
      </x:c>
      <x:c r="N142" s="3" t="str">
        <x:v>USDT</x:v>
      </x:c>
      <x:c r="O142" s="9" t="n">
        <x:v>1789333499999</x:v>
      </x:c>
      <x:c r="P142" s="4" t="b">
        <x:v>0</x:v>
      </x:c>
      <x:c r="Q142" s="4" t="b">
        <x:v>1</x:v>
      </x:c>
      <x:c r="R142" s="4" t="b">
        <x:v>1</x:v>
      </x:c>
      <x:c r="S142" s="4" t="b">
        <x:v>1</x:v>
      </x:c>
      <x:c r="T142" s="4" t="b">
        <x:v>1</x:v>
      </x:c>
      <x:c r="U142" s="4" t="b">
        <x:v>1</x:v>
      </x:c>
      <x:c r="V142" s="10" t="n">
        <x:v>1789333560</x:v>
      </x:c>
      <x:c r="W142" s="3" t="str">
        <x:v>{"side": "BUY", "symbol": "LTCUSDT", "order_id": 7421458504, "quantity": "0.54700000", "price": "54.82", "quote_amount": "29.98654000", "quote_asset": "USDT", "signal_candle_close_time": 1789333499999, "reason": "strategy buy signal", "entry_conditions": {"rsi_recovered": false, "near_support": true, "trend_ok": true, "reward_ok": true, "stop_risk_ok": true, "momentum_ok": true}, "environment": "production", "recorded_at": 1789333560}</x:v>
      </x:c>
      <x:c r="X142" s="10" t="n">
        <x:v>0</x:v>
      </x:c>
      <x:c r="Y142" s="8" t="n">
        <x:v>46278.879166666666</x:v>
      </x:c>
      <x:c r="Z142" s="3" t="str">
        <x:v>2026-09-14</x:v>
      </x:c>
      <x:c r="AA142" s="3" t="str">
        <x:v>ACTIVE / MIXED</x:v>
      </x:c>
      <x:c r="AB142" s="8" t="n">
        <x:v>46279.00170138889</x:v>
      </x:c>
      <x:c r="AC142" s="10" t="n">
        <x:v>213</x:v>
      </x:c>
      <x:c r="AD142" s="3" t="str">
        <x:v>rsi_recovered</x:v>
      </x:c>
      <x:c r="AE142" s="3"/>
      <x:c r="AF142" s="9"/>
      <x:c r="AG142" s="3"/>
      <x:c r="AH142" s="9"/>
      <x:c r="AI142" s="9"/>
      <x:c r="AJ142" s="3"/>
      <x:c r="AK142" s="9"/>
      <x:c r="AL142" s="3"/>
      <x:c r="AM142" s="3"/>
    </x:row>
    <x:row r="143" ht="21" customHeight="1">
      <x:c r="A143" s="8" t="n">
        <x:v>46279.00738425926</x:v>
      </x:c>
      <x:c r="B143" s="3" t="str">
        <x:v>BCHUSDT</x:v>
      </x:c>
      <x:c r="C143" s="3" t="str">
        <x:v>SELL</x:v>
      </x:c>
      <x:c r="D143" s="3" t="str">
        <x:v>5500211415</x:v>
      </x:c>
      <x:c r="E143" s="9" t="n">
        <x:v>0.132</x:v>
      </x:c>
      <x:c r="F143" s="9" t="n">
        <x:v>225.1</x:v>
      </x:c>
      <x:c r="G143" s="9" t="n">
        <x:v>29.7132</x:v>
      </x:c>
      <x:c r="H143" s="9" t="n">
        <x:v>0.132</x:v>
      </x:c>
      <x:c r="I143" s="3"/>
      <x:c r="J143" s="3" t="str">
        <x:v>gross only; actual fees not recorded</x:v>
      </x:c>
      <x:c r="K143" s="3" t="str">
        <x:v>take profit</x:v>
      </x:c>
      <x:c r="L143" s="3" t="str">
        <x:v>production</x:v>
      </x:c>
      <x:c r="M143" s="10" t="n">
        <x:v>761</x:v>
      </x:c>
      <x:c r="N143" s="3" t="str">
        <x:v>USDT</x:v>
      </x:c>
      <x:c r="O143" s="9"/>
      <x:c r="P143" s="3"/>
      <x:c r="Q143" s="3"/>
      <x:c r="R143" s="3"/>
      <x:c r="S143" s="3"/>
      <x:c r="T143" s="3"/>
      <x:c r="U143" s="3"/>
      <x:c r="V143" s="10" t="n">
        <x:v>1789333838</x:v>
      </x:c>
      <x:c r="W143" s="3" t="str">
        <x:v>{"side": "SELL", "symbol": "BCHUSDT", "order_id": 5500211415, "quantity": "0.13200000", "price": "225.1", "quote_amount": "29.71320000", "quote_asset": "USDT", "reason": "take profit", "estimated_pnl_usdt": "0.132000000", "environment": "production", "recorded_at": 1789333838}</x:v>
      </x:c>
      <x:c r="X143" s="10" t="n">
        <x:v>0</x:v>
      </x:c>
      <x:c r="Y143" s="8" t="n">
        <x:v>46278.88238425926</x:v>
      </x:c>
      <x:c r="Z143" s="3" t="str">
        <x:v>2026-09-14</x:v>
      </x:c>
      <x:c r="AA143" s="3" t="str">
        <x:v>ACTIVE / MIXED</x:v>
      </x:c>
      <x:c r="AB143" s="8" t="n">
        <x:v>46279.00170138889</x:v>
      </x:c>
      <x:c r="AC143" s="10" t="n">
        <x:v>491</x:v>
      </x:c>
      <x:c r="AD143" s="3"/>
      <x:c r="AE143" s="3"/>
      <x:c r="AF143" s="9"/>
      <x:c r="AG143" s="3"/>
      <x:c r="AH143" s="9"/>
      <x:c r="AI143" s="9"/>
      <x:c r="AJ143" s="3"/>
      <x:c r="AK143" s="9"/>
      <x:c r="AL143" s="3"/>
      <x:c r="AM143" s="3"/>
    </x:row>
    <x:row r="144" ht="21" customHeight="1">
      <x:c r="A144" s="8" t="n">
        <x:v>46279.021145833336</x:v>
      </x:c>
      <x:c r="B144" s="3" t="str">
        <x:v>HOLOUSDT</x:v>
      </x:c>
      <x:c r="C144" s="3" t="str">
        <x:v>BUY</x:v>
      </x:c>
      <x:c r="D144" s="3" t="str">
        <x:v>168502008</x:v>
      </x:c>
      <x:c r="E144" s="9" t="n">
        <x:v>482.3</x:v>
      </x:c>
      <x:c r="F144" s="9" t="n">
        <x:v>0.0622</x:v>
      </x:c>
      <x:c r="G144" s="9" t="n">
        <x:v>29.99906</x:v>
      </x:c>
      <x:c r="H144" s="9"/>
      <x:c r="I144" s="3"/>
      <x:c r="J144" s="3" t="str">
        <x:v>gross only; actual fees not recorded</x:v>
      </x:c>
      <x:c r="K144" s="3" t="str">
        <x:v>strategy buy signal</x:v>
      </x:c>
      <x:c r="L144" s="3" t="str">
        <x:v>production</x:v>
      </x:c>
      <x:c r="M144" s="10" t="n">
        <x:v>762</x:v>
      </x:c>
      <x:c r="N144" s="3" t="str">
        <x:v>USDT</x:v>
      </x:c>
      <x:c r="O144" s="9" t="n">
        <x:v>1789334999999</x:v>
      </x:c>
      <x:c r="P144" s="4" t="b">
        <x:v>0</x:v>
      </x:c>
      <x:c r="Q144" s="4" t="b">
        <x:v>1</x:v>
      </x:c>
      <x:c r="R144" s="4" t="b">
        <x:v>1</x:v>
      </x:c>
      <x:c r="S144" s="4" t="b">
        <x:v>1</x:v>
      </x:c>
      <x:c r="T144" s="4" t="b">
        <x:v>1</x:v>
      </x:c>
      <x:c r="U144" s="4" t="b">
        <x:v>1</x:v>
      </x:c>
      <x:c r="V144" s="10" t="n">
        <x:v>1789335027</x:v>
      </x:c>
      <x:c r="W144" s="3" t="str">
        <x:v>{"side": "BUY", "symbol": "HOLOUSDT", "order_id": 168502008, "quantity": "482.30000000", "price": "0.0622", "quote_amount": "29.99906000", "quote_asset": "USDT", "signal_candle_close_time": 1789334999999, "reason": "strategy buy signal", "entry_conditions": {"rsi_recovered": false, "near_support": true, "trend_ok": true, "reward_ok": true, "stop_risk_ok": true, "momentum_ok": true}, "environment": "production", "recorded_at": 1789335027}</x:v>
      </x:c>
      <x:c r="X144" s="10" t="n">
        <x:v>0</x:v>
      </x:c>
      <x:c r="Y144" s="8" t="n">
        <x:v>46278.896145833336</x:v>
      </x:c>
      <x:c r="Z144" s="3" t="str">
        <x:v>2026-09-14</x:v>
      </x:c>
      <x:c r="AA144" s="3" t="str">
        <x:v>ACTIVE / MIXED</x:v>
      </x:c>
      <x:c r="AB144" s="8" t="n">
        <x:v>46279.012141203704</x:v>
      </x:c>
      <x:c r="AC144" s="10" t="n">
        <x:v>778</x:v>
      </x:c>
      <x:c r="AD144" s="3" t="str">
        <x:v>rsi_recovered</x:v>
      </x:c>
      <x:c r="AE144" s="3"/>
      <x:c r="AF144" s="9"/>
      <x:c r="AG144" s="3"/>
      <x:c r="AH144" s="9"/>
      <x:c r="AI144" s="9"/>
      <x:c r="AJ144" s="3"/>
      <x:c r="AK144" s="9"/>
      <x:c r="AL144" s="3"/>
      <x:c r="AM144" s="3"/>
    </x:row>
    <x:row r="145" ht="21" customHeight="1">
      <x:c r="A145" s="8" t="n">
        <x:v>46279.02118055556</x:v>
      </x:c>
      <x:c r="B145" s="3" t="str">
        <x:v>XRPUSDT</x:v>
      </x:c>
      <x:c r="C145" s="3" t="str">
        <x:v>BUY</x:v>
      </x:c>
      <x:c r="D145" s="3" t="str">
        <x:v>15431267509</x:v>
      </x:c>
      <x:c r="E145" s="9" t="n">
        <x:v>22</x:v>
      </x:c>
      <x:c r="F145" s="9" t="n">
        <x:v>1.359</x:v>
      </x:c>
      <x:c r="G145" s="9" t="n">
        <x:v>29.898</x:v>
      </x:c>
      <x:c r="H145" s="9"/>
      <x:c r="I145" s="3"/>
      <x:c r="J145" s="3" t="str">
        <x:v>gross only; actual fees not recorded</x:v>
      </x:c>
      <x:c r="K145" s="3" t="str">
        <x:v>strategy buy signal</x:v>
      </x:c>
      <x:c r="L145" s="3" t="str">
        <x:v>production</x:v>
      </x:c>
      <x:c r="M145" s="10" t="n">
        <x:v>763</x:v>
      </x:c>
      <x:c r="N145" s="3" t="str">
        <x:v>USDT</x:v>
      </x:c>
      <x:c r="O145" s="9" t="n">
        <x:v>1789334999999</x:v>
      </x:c>
      <x:c r="P145" s="4" t="b">
        <x:v>0</x:v>
      </x:c>
      <x:c r="Q145" s="4" t="b">
        <x:v>1</x:v>
      </x:c>
      <x:c r="R145" s="4" t="b">
        <x:v>1</x:v>
      </x:c>
      <x:c r="S145" s="4" t="b">
        <x:v>1</x:v>
      </x:c>
      <x:c r="T145" s="4" t="b">
        <x:v>1</x:v>
      </x:c>
      <x:c r="U145" s="4" t="b">
        <x:v>1</x:v>
      </x:c>
      <x:c r="V145" s="10" t="n">
        <x:v>1789335030</x:v>
      </x:c>
      <x:c r="W145" s="3" t="str">
        <x:v>{"side": "BUY", "symbol": "XRPUSDT", "order_id": 15431267509, "quantity": "22.00000000", "price": "1.359", "quote_amount": "29.89800000", "quote_asset": "USDT", "signal_candle_close_time": 1789334999999, "reason": "strategy buy signal", "entry_conditions": {"rsi_recovered": false, "near_support": true, "trend_ok": true, "reward_ok": true, "stop_risk_ok": true, "momentum_ok": true}, "environment": "production", "recorded_at": 1789335030}</x:v>
      </x:c>
      <x:c r="X145" s="10" t="n">
        <x:v>0</x:v>
      </x:c>
      <x:c r="Y145" s="8" t="n">
        <x:v>46278.89618055556</x:v>
      </x:c>
      <x:c r="Z145" s="3" t="str">
        <x:v>2026-09-14</x:v>
      </x:c>
      <x:c r="AA145" s="3" t="str">
        <x:v>ACTIVE / MIXED</x:v>
      </x:c>
      <x:c r="AB145" s="8" t="n">
        <x:v>46279.012141203704</x:v>
      </x:c>
      <x:c r="AC145" s="10" t="n">
        <x:v>781</x:v>
      </x:c>
      <x:c r="AD145" s="3" t="str">
        <x:v>rsi_recovered</x:v>
      </x:c>
      <x:c r="AE145" s="3"/>
      <x:c r="AF145" s="9"/>
      <x:c r="AG145" s="3"/>
      <x:c r="AH145" s="9"/>
      <x:c r="AI145" s="9"/>
      <x:c r="AJ145" s="3"/>
      <x:c r="AK145" s="9"/>
      <x:c r="AL145" s="3"/>
      <x:c r="AM145" s="3"/>
    </x:row>
    <x:row r="146" ht="21" customHeight="1">
      <x:c r="A146" s="8" t="n">
        <x:v>46279.03854166667</x:v>
      </x:c>
      <x:c r="B146" s="3" t="str">
        <x:v>ADAUSDT</x:v>
      </x:c>
      <x:c r="C146" s="3" t="str">
        <x:v>SELL</x:v>
      </x:c>
      <x:c r="D146" s="3" t="str">
        <x:v>8786608510</x:v>
      </x:c>
      <x:c r="E146" s="9" t="n">
        <x:v>143.5</x:v>
      </x:c>
      <x:c r="F146" s="9" t="n">
        <x:v>0.2077</x:v>
      </x:c>
      <x:c r="G146" s="9" t="n">
        <x:v>29.80495</x:v>
      </x:c>
      <x:c r="H146" s="9" t="n">
        <x:v>-0.1435</x:v>
      </x:c>
      <x:c r="I146" s="3"/>
      <x:c r="J146" s="3" t="str">
        <x:v>gross only; actual fees not recorded</x:v>
      </x:c>
      <x:c r="K146" s="3" t="str">
        <x:v>stop loss</x:v>
      </x:c>
      <x:c r="L146" s="3" t="str">
        <x:v>production</x:v>
      </x:c>
      <x:c r="M146" s="10" t="n">
        <x:v>764</x:v>
      </x:c>
      <x:c r="N146" s="3" t="str">
        <x:v>USDT</x:v>
      </x:c>
      <x:c r="O146" s="9"/>
      <x:c r="P146" s="3"/>
      <x:c r="Q146" s="3"/>
      <x:c r="R146" s="3"/>
      <x:c r="S146" s="3"/>
      <x:c r="T146" s="3"/>
      <x:c r="U146" s="3"/>
      <x:c r="V146" s="10" t="n">
        <x:v>1789336530</x:v>
      </x:c>
      <x:c r="W146" s="3" t="str">
        <x:v>{"side": "SELL", "symbol": "ADAUSDT", "order_id": 8786608510, "quantity": "143.50000000", "price": "0.2077", "quote_amount": "29.80495000", "quote_asset": "USDT", "reason": "stop loss", "estimated_pnl_usdt": "-0.143500000000", "environment": "production", "recorded_at": 1789336530}</x:v>
      </x:c>
      <x:c r="X146" s="10" t="n">
        <x:v>0</x:v>
      </x:c>
      <x:c r="Y146" s="8" t="n">
        <x:v>46278.91354166667</x:v>
      </x:c>
      <x:c r="Z146" s="3" t="str">
        <x:v>2026-09-14</x:v>
      </x:c>
      <x:c r="AA146" s="3" t="str">
        <x:v>ACTIVE / MIXED</x:v>
      </x:c>
      <x:c r="AB146" s="8" t="n">
        <x:v>46279.03309027778</x:v>
      </x:c>
      <x:c r="AC146" s="10" t="n">
        <x:v>471</x:v>
      </x:c>
      <x:c r="AD146" s="3"/>
      <x:c r="AE146" s="3"/>
      <x:c r="AF146" s="9"/>
      <x:c r="AG146" s="3"/>
      <x:c r="AH146" s="9"/>
      <x:c r="AI146" s="9"/>
      <x:c r="AJ146" s="3"/>
      <x:c r="AK146" s="9"/>
      <x:c r="AL146" s="3"/>
      <x:c r="AM146" s="3"/>
    </x:row>
    <x:row r="147" ht="21" customHeight="1">
      <x:c r="A147" s="8" t="n">
        <x:v>46279.04545138889</x:v>
      </x:c>
      <x:c r="B147" s="3" t="str">
        <x:v>BNBUSDT</x:v>
      </x:c>
      <x:c r="C147" s="3" t="str">
        <x:v>SELL</x:v>
      </x:c>
      <x:c r="D147" s="3" t="str">
        <x:v>12596449963</x:v>
      </x:c>
      <x:c r="E147" s="9" t="n">
        <x:v>0.04</x:v>
      </x:c>
      <x:c r="F147" s="9" t="n">
        <x:v>720.11</x:v>
      </x:c>
      <x:c r="G147" s="9" t="n">
        <x:v>28.8044</x:v>
      </x:c>
      <x:c r="H147" s="9" t="n">
        <x:v>-0.0712</x:v>
      </x:c>
      <x:c r="I147" s="3"/>
      <x:c r="J147" s="3" t="str">
        <x:v>gross only; actual fees not recorded</x:v>
      </x:c>
      <x:c r="K147" s="3" t="str">
        <x:v>stop loss</x:v>
      </x:c>
      <x:c r="L147" s="3" t="str">
        <x:v>production</x:v>
      </x:c>
      <x:c r="M147" s="10" t="n">
        <x:v>765</x:v>
      </x:c>
      <x:c r="N147" s="3" t="str">
        <x:v>USDT</x:v>
      </x:c>
      <x:c r="O147" s="9"/>
      <x:c r="P147" s="3"/>
      <x:c r="Q147" s="3"/>
      <x:c r="R147" s="3"/>
      <x:c r="S147" s="3"/>
      <x:c r="T147" s="3"/>
      <x:c r="U147" s="3"/>
      <x:c r="V147" s="10" t="n">
        <x:v>1789337127</x:v>
      </x:c>
      <x:c r="W147" s="3" t="str">
        <x:v>{"side": "SELL", "symbol": "BNBUSDT", "order_id": 12596449963, "quantity": "0.04000000", "price": "720.11", "quote_amount": "28.80440000", "quote_asset": "USDT", "reason": "stop loss", "estimated_pnl_usdt": "-0.0712000000", "environment": "production", "recorded_at": 1789337127}</x:v>
      </x:c>
      <x:c r="X147" s="10" t="n">
        <x:v>0</x:v>
      </x:c>
      <x:c r="Y147" s="8" t="n">
        <x:v>46278.92045138889</x:v>
      </x:c>
      <x:c r="Z147" s="3" t="str">
        <x:v>2026-09-14</x:v>
      </x:c>
      <x:c r="AA147" s="3" t="str">
        <x:v>ACTIVE / MIXED</x:v>
      </x:c>
      <x:c r="AB147" s="8" t="n">
        <x:v>46279.04383101852</x:v>
      </x:c>
      <x:c r="AC147" s="10" t="n">
        <x:v>140</x:v>
      </x:c>
      <x:c r="AD147" s="3"/>
      <x:c r="AE147" s="3"/>
      <x:c r="AF147" s="9"/>
      <x:c r="AG147" s="3"/>
      <x:c r="AH147" s="9"/>
      <x:c r="AI147" s="9"/>
      <x:c r="AJ147" s="3"/>
      <x:c r="AK147" s="9"/>
      <x:c r="AL147" s="3"/>
      <x:c r="AM147" s="3"/>
    </x:row>
    <x:row r="148" ht="21" customHeight="1">
      <x:c r="A148" s="8" t="n">
        <x:v>46279.04546296296</x:v>
      </x:c>
      <x:c r="B148" s="3" t="str">
        <x:v>HOLOUSDT</x:v>
      </x:c>
      <x:c r="C148" s="3" t="str">
        <x:v>SELL</x:v>
      </x:c>
      <x:c r="D148" s="3" t="str">
        <x:v>168527618</x:v>
      </x:c>
      <x:c r="E148" s="9" t="n">
        <x:v>482.3</x:v>
      </x:c>
      <x:c r="F148" s="9" t="n">
        <x:v>0.0613</x:v>
      </x:c>
      <x:c r="G148" s="9" t="n">
        <x:v>29.56499</x:v>
      </x:c>
      <x:c r="H148" s="9" t="n">
        <x:v>-0.43407</x:v>
      </x:c>
      <x:c r="I148" s="3"/>
      <x:c r="J148" s="3" t="str">
        <x:v>gross only; actual fees not recorded</x:v>
      </x:c>
      <x:c r="K148" s="3" t="str">
        <x:v>stop loss</x:v>
      </x:c>
      <x:c r="L148" s="3" t="str">
        <x:v>production</x:v>
      </x:c>
      <x:c r="M148" s="10" t="n">
        <x:v>766</x:v>
      </x:c>
      <x:c r="N148" s="3" t="str">
        <x:v>USDT</x:v>
      </x:c>
      <x:c r="O148" s="9"/>
      <x:c r="P148" s="3"/>
      <x:c r="Q148" s="3"/>
      <x:c r="R148" s="3"/>
      <x:c r="S148" s="3"/>
      <x:c r="T148" s="3"/>
      <x:c r="U148" s="3"/>
      <x:c r="V148" s="10" t="n">
        <x:v>1789337128</x:v>
      </x:c>
      <x:c r="W148" s="3" t="str">
        <x:v>{"side": "SELL", "symbol": "HOLOUSDT", "order_id": 168527618, "quantity": "482.30000000", "price": "0.0613", "quote_amount": "29.56499000", "quote_asset": "USDT", "reason": "stop loss", "estimated_pnl_usdt": "-0.434070000000", "environment": "production", "recorded_at": 1789337128}</x:v>
      </x:c>
      <x:c r="X148" s="10" t="n">
        <x:v>0</x:v>
      </x:c>
      <x:c r="Y148" s="8" t="n">
        <x:v>46278.92046296296</x:v>
      </x:c>
      <x:c r="Z148" s="3" t="str">
        <x:v>2026-09-14</x:v>
      </x:c>
      <x:c r="AA148" s="3" t="str">
        <x:v>ACTIVE / MIXED</x:v>
      </x:c>
      <x:c r="AB148" s="8" t="n">
        <x:v>46279.04383101852</x:v>
      </x:c>
      <x:c r="AC148" s="10" t="n">
        <x:v>141</x:v>
      </x:c>
      <x:c r="AD148" s="3"/>
      <x:c r="AE148" s="3"/>
      <x:c r="AF148" s="9"/>
      <x:c r="AG148" s="3"/>
      <x:c r="AH148" s="9"/>
      <x:c r="AI148" s="9"/>
      <x:c r="AJ148" s="3"/>
      <x:c r="AK148" s="9"/>
      <x:c r="AL148" s="3"/>
      <x:c r="AM148" s="3"/>
    </x:row>
    <x:row r="149" ht="21" customHeight="1">
      <x:c r="A149" s="8" t="n">
        <x:v>46279.045486111114</x:v>
      </x:c>
      <x:c r="B149" s="3" t="str">
        <x:v>XRPUSDT</x:v>
      </x:c>
      <x:c r="C149" s="3" t="str">
        <x:v>SELL</x:v>
      </x:c>
      <x:c r="D149" s="3" t="str">
        <x:v>15431385713</x:v>
      </x:c>
      <x:c r="E149" s="9" t="n">
        <x:v>22</x:v>
      </x:c>
      <x:c r="F149" s="9" t="n">
        <x:v>1.349</x:v>
      </x:c>
      <x:c r="G149" s="9" t="n">
        <x:v>29.678</x:v>
      </x:c>
      <x:c r="H149" s="9" t="n">
        <x:v>-0.22</x:v>
      </x:c>
      <x:c r="I149" s="3"/>
      <x:c r="J149" s="3" t="str">
        <x:v>gross only; actual fees not recorded</x:v>
      </x:c>
      <x:c r="K149" s="3" t="str">
        <x:v>stop loss</x:v>
      </x:c>
      <x:c r="L149" s="3" t="str">
        <x:v>production</x:v>
      </x:c>
      <x:c r="M149" s="10" t="n">
        <x:v>767</x:v>
      </x:c>
      <x:c r="N149" s="3" t="str">
        <x:v>USDT</x:v>
      </x:c>
      <x:c r="O149" s="9"/>
      <x:c r="P149" s="3"/>
      <x:c r="Q149" s="3"/>
      <x:c r="R149" s="3"/>
      <x:c r="S149" s="3"/>
      <x:c r="T149" s="3"/>
      <x:c r="U149" s="3"/>
      <x:c r="V149" s="10" t="n">
        <x:v>1789337130</x:v>
      </x:c>
      <x:c r="W149" s="3" t="str">
        <x:v>{"side": "SELL", "symbol": "XRPUSDT", "order_id": 15431385713, "quantity": "22.00000000", "price": "1.349", "quote_amount": "29.67800000", "quote_asset": "USDT", "reason": "stop loss", "estimated_pnl_usdt": "-0.22000000000", "environment": "production", "recorded_at": 1789337130}</x:v>
      </x:c>
      <x:c r="X149" s="10" t="n">
        <x:v>0</x:v>
      </x:c>
      <x:c r="Y149" s="8" t="n">
        <x:v>46278.920486111114</x:v>
      </x:c>
      <x:c r="Z149" s="3" t="str">
        <x:v>2026-09-14</x:v>
      </x:c>
      <x:c r="AA149" s="3" t="str">
        <x:v>ACTIVE / MIXED</x:v>
      </x:c>
      <x:c r="AB149" s="8" t="n">
        <x:v>46279.04383101852</x:v>
      </x:c>
      <x:c r="AC149" s="10" t="n">
        <x:v>143</x:v>
      </x:c>
      <x:c r="AD149" s="3"/>
      <x:c r="AE149" s="3"/>
      <x:c r="AF149" s="9"/>
      <x:c r="AG149" s="3"/>
      <x:c r="AH149" s="9"/>
      <x:c r="AI149" s="9"/>
      <x:c r="AJ149" s="3"/>
      <x:c r="AK149" s="9"/>
      <x:c r="AL149" s="3"/>
      <x:c r="AM149" s="3"/>
    </x:row>
    <x:row r="150" ht="21" customHeight="1">
      <x:c r="A150" s="8" t="n">
        <x:v>46279.04553240741</x:v>
      </x:c>
      <x:c r="B150" s="3" t="str">
        <x:v>LTCUSDT</x:v>
      </x:c>
      <x:c r="C150" s="3" t="str">
        <x:v>SELL</x:v>
      </x:c>
      <x:c r="D150" s="3" t="str">
        <x:v>7421494381</x:v>
      </x:c>
      <x:c r="E150" s="9" t="n">
        <x:v>0.547</x:v>
      </x:c>
      <x:c r="F150" s="9" t="n">
        <x:v>54.27</x:v>
      </x:c>
      <x:c r="G150" s="9" t="n">
        <x:v>29.68569</x:v>
      </x:c>
      <x:c r="H150" s="9" t="n">
        <x:v>-0.30085</x:v>
      </x:c>
      <x:c r="I150" s="3"/>
      <x:c r="J150" s="3" t="str">
        <x:v>gross only; actual fees not recorded</x:v>
      </x:c>
      <x:c r="K150" s="3" t="str">
        <x:v>stop loss</x:v>
      </x:c>
      <x:c r="L150" s="3" t="str">
        <x:v>production</x:v>
      </x:c>
      <x:c r="M150" s="10" t="n">
        <x:v>768</x:v>
      </x:c>
      <x:c r="N150" s="3" t="str">
        <x:v>USDT</x:v>
      </x:c>
      <x:c r="O150" s="9"/>
      <x:c r="P150" s="3"/>
      <x:c r="Q150" s="3"/>
      <x:c r="R150" s="3"/>
      <x:c r="S150" s="3"/>
      <x:c r="T150" s="3"/>
      <x:c r="U150" s="3"/>
      <x:c r="V150" s="10" t="n">
        <x:v>1789337134</x:v>
      </x:c>
      <x:c r="W150" s="3" t="str">
        <x:v>{"side": "SELL", "symbol": "LTCUSDT", "order_id": 7421494381, "quantity": "0.54700000", "price": "54.27", "quote_amount": "29.68569000", "quote_asset": "USDT", "reason": "stop loss", "estimated_pnl_usdt": "-0.3008500000", "environment": "production", "recorded_at": 1789337134}</x:v>
      </x:c>
      <x:c r="X150" s="10" t="n">
        <x:v>0</x:v>
      </x:c>
      <x:c r="Y150" s="8" t="n">
        <x:v>46278.92053240741</x:v>
      </x:c>
      <x:c r="Z150" s="3" t="str">
        <x:v>2026-09-14</x:v>
      </x:c>
      <x:c r="AA150" s="3" t="str">
        <x:v>ACTIVE / MIXED</x:v>
      </x:c>
      <x:c r="AB150" s="8" t="n">
        <x:v>46279.04383101852</x:v>
      </x:c>
      <x:c r="AC150" s="10" t="n">
        <x:v>147</x:v>
      </x:c>
      <x:c r="AD150" s="3"/>
      <x:c r="AE150" s="3"/>
      <x:c r="AF150" s="9"/>
      <x:c r="AG150" s="3"/>
      <x:c r="AH150" s="9"/>
      <x:c r="AI150" s="9"/>
      <x:c r="AJ150" s="3"/>
      <x:c r="AK150" s="9"/>
      <x:c r="AL150" s="3"/>
      <x:c r="AM150" s="3"/>
    </x:row>
    <x:row r="151" ht="21" customHeight="1">
      <x:c r="A151" s="8" t="n">
        <x:v>46279.04554398148</x:v>
      </x:c>
      <x:c r="B151" s="3" t="str">
        <x:v>LINKUSDT</x:v>
      </x:c>
      <x:c r="C151" s="3" t="str">
        <x:v>SELL</x:v>
      </x:c>
      <x:c r="D151" s="3" t="str">
        <x:v>8009686831</x:v>
      </x:c>
      <x:c r="E151" s="9" t="n">
        <x:v>2.61</x:v>
      </x:c>
      <x:c r="F151" s="9" t="n">
        <x:v>11.327</x:v>
      </x:c>
      <x:c r="G151" s="9" t="n">
        <x:v>29.56347</x:v>
      </x:c>
      <x:c r="H151" s="9" t="n">
        <x:v>-0.3132</x:v>
      </x:c>
      <x:c r="I151" s="3"/>
      <x:c r="J151" s="3" t="str">
        <x:v>gross only; actual fees not recorded</x:v>
      </x:c>
      <x:c r="K151" s="3" t="str">
        <x:v>stop loss</x:v>
      </x:c>
      <x:c r="L151" s="3" t="str">
        <x:v>production</x:v>
      </x:c>
      <x:c r="M151" s="10" t="n">
        <x:v>769</x:v>
      </x:c>
      <x:c r="N151" s="3" t="str">
        <x:v>USDT</x:v>
      </x:c>
      <x:c r="O151" s="9"/>
      <x:c r="P151" s="3"/>
      <x:c r="Q151" s="3"/>
      <x:c r="R151" s="3"/>
      <x:c r="S151" s="3"/>
      <x:c r="T151" s="3"/>
      <x:c r="U151" s="3"/>
      <x:c r="V151" s="10" t="n">
        <x:v>1789337135</x:v>
      </x:c>
      <x:c r="W151" s="3" t="str">
        <x:v>{"side": "SELL", "symbol": "LINKUSDT", "order_id": 8009686831, "quantity": "2.61000000", "price": "11.327", "quote_amount": "29.56347000", "quote_asset": "USDT", "reason": "stop loss", "estimated_pnl_usdt": "-0.31320000000", "environment": "production", "recorded_at": 1789337135}</x:v>
      </x:c>
      <x:c r="X151" s="10" t="n">
        <x:v>0</x:v>
      </x:c>
      <x:c r="Y151" s="8" t="n">
        <x:v>46278.92054398148</x:v>
      </x:c>
      <x:c r="Z151" s="3" t="str">
        <x:v>2026-09-14</x:v>
      </x:c>
      <x:c r="AA151" s="3" t="str">
        <x:v>ACTIVE / MIXED</x:v>
      </x:c>
      <x:c r="AB151" s="8" t="n">
        <x:v>46279.04383101852</x:v>
      </x:c>
      <x:c r="AC151" s="10" t="n">
        <x:v>148</x:v>
      </x:c>
      <x:c r="AD151" s="3"/>
      <x:c r="AE151" s="3"/>
      <x:c r="AF151" s="9"/>
      <x:c r="AG151" s="3"/>
      <x:c r="AH151" s="9"/>
      <x:c r="AI151" s="9"/>
      <x:c r="AJ151" s="3"/>
      <x:c r="AK151" s="9"/>
      <x:c r="AL151" s="3"/>
      <x:c r="AM151" s="3"/>
    </x:row>
    <x:row r="152" ht="21" customHeight="1">
      <x:c r="A152" s="8" t="n">
        <x:v>46279.19128472222</x:v>
      </x:c>
      <x:c r="B152" s="3" t="str">
        <x:v>HOLOUSDT</x:v>
      </x:c>
      <x:c r="C152" s="3" t="str">
        <x:v>BUY</x:v>
      </x:c>
      <x:c r="D152" s="3" t="str">
        <x:v>168601438</x:v>
      </x:c>
      <x:c r="E152" s="9" t="n">
        <x:v>492.6</x:v>
      </x:c>
      <x:c r="F152" s="9" t="n">
        <x:v>0.0609</x:v>
      </x:c>
      <x:c r="G152" s="9" t="n">
        <x:v>29.99934</x:v>
      </x:c>
      <x:c r="H152" s="9"/>
      <x:c r="I152" s="3"/>
      <x:c r="J152" s="3" t="str">
        <x:v>gross only; actual fees not recorded</x:v>
      </x:c>
      <x:c r="K152" s="3" t="str">
        <x:v>strategy buy signal</x:v>
      </x:c>
      <x:c r="L152" s="3" t="str">
        <x:v>production</x:v>
      </x:c>
      <x:c r="M152" s="10" t="n">
        <x:v>770</x:v>
      </x:c>
      <x:c r="N152" s="3" t="str">
        <x:v>USDT</x:v>
      </x:c>
      <x:c r="O152" s="9" t="n">
        <x:v>1789349699999</x:v>
      </x:c>
      <x:c r="P152" s="4" t="b">
        <x:v>1</x:v>
      </x:c>
      <x:c r="Q152" s="4" t="b">
        <x:v>1</x:v>
      </x:c>
      <x:c r="R152" s="4" t="b">
        <x:v>1</x:v>
      </x:c>
      <x:c r="S152" s="4" t="b">
        <x:v>1</x:v>
      </x:c>
      <x:c r="T152" s="4" t="b">
        <x:v>1</x:v>
      </x:c>
      <x:c r="U152" s="4" t="b">
        <x:v>0</x:v>
      </x:c>
      <x:c r="V152" s="10" t="n">
        <x:v>1789349727</x:v>
      </x:c>
      <x:c r="W152" s="3" t="str">
        <x:v>{"side": "BUY", "symbol": "HOLOUSDT", "order_id": 168601438, "quantity": "492.60000000", "price": "0.0609", "quote_amount": "29.99934000", "quote_asset": "USDT", "signal_candle_close_time": 1789349699999, "reason": "strategy buy signal", "entry_conditions": {"rsi_recovered": true, "near_support": true, "trend_ok": true, "reward_ok": true, "stop_risk_ok": true, "momentum_ok": false}, "environment": "production", "recorded_at": 1789349727}</x:v>
      </x:c>
      <x:c r="X152" s="10" t="n">
        <x:v>0</x:v>
      </x:c>
      <x:c r="Y152" s="8" t="n">
        <x:v>46279.06628472222</x:v>
      </x:c>
      <x:c r="Z152" s="3" t="str">
        <x:v>2026-09-14</x:v>
      </x:c>
      <x:c r="AA152" s="3" t="str">
        <x:v>ACTIVE / WEAK</x:v>
      </x:c>
      <x:c r="AB152" s="8" t="n">
        <x:v>46279.1818287037</x:v>
      </x:c>
      <x:c r="AC152" s="10" t="n">
        <x:v>817</x:v>
      </x:c>
      <x:c r="AD152" s="3" t="str">
        <x:v>momentum_ok</x:v>
      </x:c>
      <x:c r="AE152" s="3"/>
      <x:c r="AF152" s="9"/>
      <x:c r="AG152" s="3"/>
      <x:c r="AH152" s="9"/>
      <x:c r="AI152" s="9"/>
      <x:c r="AJ152" s="3"/>
      <x:c r="AK152" s="9"/>
      <x:c r="AL152" s="3"/>
      <x:c r="AM152" s="3"/>
    </x:row>
    <x:row r="153" ht="21" customHeight="1">
      <x:c r="A153" s="8" t="n">
        <x:v>46279.19390046296</x:v>
      </x:c>
      <x:c r="B153" s="3" t="str">
        <x:v>HOLOUSDT</x:v>
      </x:c>
      <x:c r="C153" s="3" t="str">
        <x:v>SELL</x:v>
      </x:c>
      <x:c r="D153" s="3" t="str">
        <x:v>168603079</x:v>
      </x:c>
      <x:c r="E153" s="9" t="n">
        <x:v>492.6</x:v>
      </x:c>
      <x:c r="F153" s="9" t="n">
        <x:v>0.0613</x:v>
      </x:c>
      <x:c r="G153" s="9" t="n">
        <x:v>30.19638</x:v>
      </x:c>
      <x:c r="H153" s="9" t="n">
        <x:v>0.19704</x:v>
      </x:c>
      <x:c r="I153" s="3"/>
      <x:c r="J153" s="3" t="str">
        <x:v>gross only; actual fees not recorded</x:v>
      </x:c>
      <x:c r="K153" s="3" t="str">
        <x:v>take profit</x:v>
      </x:c>
      <x:c r="L153" s="3" t="str">
        <x:v>production</x:v>
      </x:c>
      <x:c r="M153" s="10" t="n">
        <x:v>771</x:v>
      </x:c>
      <x:c r="N153" s="3" t="str">
        <x:v>USDT</x:v>
      </x:c>
      <x:c r="O153" s="9"/>
      <x:c r="P153" s="3"/>
      <x:c r="Q153" s="3"/>
      <x:c r="R153" s="3"/>
      <x:c r="S153" s="3"/>
      <x:c r="T153" s="3"/>
      <x:c r="U153" s="3"/>
      <x:c r="V153" s="10" t="n">
        <x:v>1789349953</x:v>
      </x:c>
      <x:c r="W153" s="3" t="str">
        <x:v>{"side": "SELL", "symbol": "HOLOUSDT", "order_id": 168603079, "quantity": "492.60000000", "price": "0.0613", "quote_amount": "30.19638000", "quote_asset": "USDT", "reason": "take profit", "estimated_pnl_usdt": "0.197040000000", "environment": "production", "recorded_at": 1789349953}</x:v>
      </x:c>
      <x:c r="X153" s="10" t="n">
        <x:v>0</x:v>
      </x:c>
      <x:c r="Y153" s="8" t="n">
        <x:v>46279.06890046296</x:v>
      </x:c>
      <x:c r="Z153" s="3" t="str">
        <x:v>2026-09-14</x:v>
      </x:c>
      <x:c r="AA153" s="3" t="str">
        <x:v>ACTIVE / WEAK</x:v>
      </x:c>
      <x:c r="AB153" s="8" t="n">
        <x:v>46279.192395833335</x:v>
      </x:c>
      <x:c r="AC153" s="10" t="n">
        <x:v>130</x:v>
      </x:c>
      <x:c r="AD153" s="3"/>
      <x:c r="AE153" s="3"/>
      <x:c r="AF153" s="9"/>
      <x:c r="AG153" s="3"/>
      <x:c r="AH153" s="9"/>
      <x:c r="AI153" s="9"/>
      <x:c r="AJ153" s="3"/>
      <x:c r="AK153" s="9"/>
      <x:c r="AL153" s="3"/>
      <x:c r="AM153" s="3"/>
    </x:row>
    <x:row r="154" ht="21" customHeight="1">
      <x:c r="A154" s="8" t="n">
        <x:v>46279.19483796296</x:v>
      </x:c>
      <x:c r="B154" s="3" t="str">
        <x:v>HOLOUSDT</x:v>
      </x:c>
      <x:c r="C154" s="3" t="str">
        <x:v>BUY</x:v>
      </x:c>
      <x:c r="D154" s="3" t="str">
        <x:v>168603643</x:v>
      </x:c>
      <x:c r="E154" s="9" t="n">
        <x:v>488.5</x:v>
      </x:c>
      <x:c r="F154" s="9" t="n">
        <x:v>0.0614</x:v>
      </x:c>
      <x:c r="G154" s="9" t="n">
        <x:v>29.9939</x:v>
      </x:c>
      <x:c r="H154" s="9"/>
      <x:c r="I154" s="3"/>
      <x:c r="J154" s="3" t="str">
        <x:v>gross only; actual fees not recorded</x:v>
      </x:c>
      <x:c r="K154" s="3" t="str">
        <x:v>strategy buy signal</x:v>
      </x:c>
      <x:c r="L154" s="3" t="str">
        <x:v>production</x:v>
      </x:c>
      <x:c r="M154" s="10" t="n">
        <x:v>772</x:v>
      </x:c>
      <x:c r="N154" s="3" t="str">
        <x:v>USDT</x:v>
      </x:c>
      <x:c r="O154" s="9" t="n">
        <x:v>1789349999999</x:v>
      </x:c>
      <x:c r="P154" s="4" t="b">
        <x:v>1</x:v>
      </x:c>
      <x:c r="Q154" s="4" t="b">
        <x:v>0</x:v>
      </x:c>
      <x:c r="R154" s="4" t="b">
        <x:v>1</x:v>
      </x:c>
      <x:c r="S154" s="4" t="b">
        <x:v>1</x:v>
      </x:c>
      <x:c r="T154" s="4" t="b">
        <x:v>1</x:v>
      </x:c>
      <x:c r="U154" s="4" t="b">
        <x:v>1</x:v>
      </x:c>
      <x:c r="V154" s="10" t="n">
        <x:v>1789350034</x:v>
      </x:c>
      <x:c r="W154" s="3" t="str">
        <x:v>{"side": "BUY", "symbol": "HOLOUSDT", "order_id": 168603643, "quantity": "488.50000000", "price": "0.0614", "quote_amount": "29.99390000", "quote_asset": "USDT", "signal_candle_close_time": 1789349999999, "reason": "strategy buy signal", "entry_conditions": {"rsi_recovered": true, "near_support": false, "trend_ok": true, "reward_ok": true, "stop_risk_ok": true, "momentum_ok": true}, "environment": "production", "recorded_at": 1789350034}</x:v>
      </x:c>
      <x:c r="X154" s="10" t="n">
        <x:v>0</x:v>
      </x:c>
      <x:c r="Y154" s="8" t="n">
        <x:v>46279.06983796296</x:v>
      </x:c>
      <x:c r="Z154" s="3" t="str">
        <x:v>2026-09-14</x:v>
      </x:c>
      <x:c r="AA154" s="3" t="str">
        <x:v>ACTIVE / WEAK</x:v>
      </x:c>
      <x:c r="AB154" s="8" t="n">
        <x:v>46279.192395833335</x:v>
      </x:c>
      <x:c r="AC154" s="10" t="n">
        <x:v>211</x:v>
      </x:c>
      <x:c r="AD154" s="3" t="str">
        <x:v>near_support</x:v>
      </x:c>
      <x:c r="AE154" s="3"/>
      <x:c r="AF154" s="9"/>
      <x:c r="AG154" s="3"/>
      <x:c r="AH154" s="9"/>
      <x:c r="AI154" s="9"/>
      <x:c r="AJ154" s="3"/>
      <x:c r="AK154" s="9"/>
      <x:c r="AL154" s="3"/>
      <x:c r="AM154" s="3"/>
    </x:row>
    <x:row r="155" ht="21" customHeight="1">
      <x:c r="A155" s="8" t="n">
        <x:v>46279.2031712963</x:v>
      </x:c>
      <x:c r="B155" s="3" t="str">
        <x:v>HOLOUSDT</x:v>
      </x:c>
      <x:c r="C155" s="3" t="str">
        <x:v>SELL</x:v>
      </x:c>
      <x:c r="D155" s="3" t="str">
        <x:v>168606421</x:v>
      </x:c>
      <x:c r="E155" s="9" t="n">
        <x:v>488.5</x:v>
      </x:c>
      <x:c r="F155" s="9" t="n">
        <x:v>0.0618</x:v>
      </x:c>
      <x:c r="G155" s="9" t="n">
        <x:v>30.1893</x:v>
      </x:c>
      <x:c r="H155" s="9" t="n">
        <x:v>0.1954</x:v>
      </x:c>
      <x:c r="I155" s="3"/>
      <x:c r="J155" s="3" t="str">
        <x:v>gross only; actual fees not recorded</x:v>
      </x:c>
      <x:c r="K155" s="3" t="str">
        <x:v>take profit</x:v>
      </x:c>
      <x:c r="L155" s="3" t="str">
        <x:v>production</x:v>
      </x:c>
      <x:c r="M155" s="10" t="n">
        <x:v>773</x:v>
      </x:c>
      <x:c r="N155" s="3" t="str">
        <x:v>USDT</x:v>
      </x:c>
      <x:c r="O155" s="9"/>
      <x:c r="P155" s="3"/>
      <x:c r="Q155" s="3"/>
      <x:c r="R155" s="3"/>
      <x:c r="S155" s="3"/>
      <x:c r="T155" s="3"/>
      <x:c r="U155" s="3"/>
      <x:c r="V155" s="10" t="n">
        <x:v>1789350754</x:v>
      </x:c>
      <x:c r="W155" s="3" t="str">
        <x:v>{"side": "SELL", "symbol": "HOLOUSDT", "order_id": 168606421, "quantity": "488.50000000", "price": "0.0618", "quote_amount": "30.18930000", "quote_asset": "USDT", "reason": "take profit", "estimated_pnl_usdt": "0.195400000000", "environment": "production", "recorded_at": 1789350754}</x:v>
      </x:c>
      <x:c r="X155" s="10" t="n">
        <x:v>0</x:v>
      </x:c>
      <x:c r="Y155" s="8" t="n">
        <x:v>46279.0781712963</x:v>
      </x:c>
      <x:c r="Z155" s="3" t="str">
        <x:v>2026-09-14</x:v>
      </x:c>
      <x:c r="AA155" s="3" t="str">
        <x:v>ACTIVE / WEAK</x:v>
      </x:c>
      <x:c r="AB155" s="8" t="n">
        <x:v>46279.20298611111</x:v>
      </x:c>
      <x:c r="AC155" s="10" t="n">
        <x:v>16</x:v>
      </x:c>
      <x:c r="AD155" s="3"/>
      <x:c r="AE155" s="3"/>
      <x:c r="AF155" s="9"/>
      <x:c r="AG155" s="3"/>
      <x:c r="AH155" s="9"/>
      <x:c r="AI155" s="9"/>
      <x:c r="AJ155" s="3"/>
      <x:c r="AK155" s="9"/>
      <x:c r="AL155" s="3"/>
      <x:c r="AM155" s="3"/>
    </x:row>
    <x:row r="156" ht="21" customHeight="1">
      <x:c r="A156" s="8" t="n">
        <x:v>46279.26392361111</x:v>
      </x:c>
      <x:c r="B156" s="3" t="str">
        <x:v>HOLOUSDT</x:v>
      </x:c>
      <x:c r="C156" s="3" t="str">
        <x:v>BUY</x:v>
      </x:c>
      <x:c r="D156" s="3" t="str">
        <x:v>168630830</x:v>
      </x:c>
      <x:c r="E156" s="9" t="n">
        <x:v>485.4</x:v>
      </x:c>
      <x:c r="F156" s="9" t="n">
        <x:v>0.0618</x:v>
      </x:c>
      <x:c r="G156" s="9" t="n">
        <x:v>29.99772</x:v>
      </x:c>
      <x:c r="H156" s="9"/>
      <x:c r="I156" s="3"/>
      <x:c r="J156" s="3" t="str">
        <x:v>gross only; actual fees not recorded</x:v>
      </x:c>
      <x:c r="K156" s="3" t="str">
        <x:v>strategy buy signal</x:v>
      </x:c>
      <x:c r="L156" s="3" t="str">
        <x:v>production</x:v>
      </x:c>
      <x:c r="M156" s="10" t="n">
        <x:v>774</x:v>
      </x:c>
      <x:c r="N156" s="3" t="str">
        <x:v>USDT</x:v>
      </x:c>
      <x:c r="O156" s="9" t="n">
        <x:v>1789355999999</x:v>
      </x:c>
      <x:c r="P156" s="4" t="b">
        <x:v>0</x:v>
      </x:c>
      <x:c r="Q156" s="4" t="b">
        <x:v>1</x:v>
      </x:c>
      <x:c r="R156" s="4" t="b">
        <x:v>1</x:v>
      </x:c>
      <x:c r="S156" s="4" t="b">
        <x:v>1</x:v>
      </x:c>
      <x:c r="T156" s="4" t="b">
        <x:v>1</x:v>
      </x:c>
      <x:c r="U156" s="4" t="b">
        <x:v>1</x:v>
      </x:c>
      <x:c r="V156" s="10" t="n">
        <x:v>1789356003</x:v>
      </x:c>
      <x:c r="W156" s="3" t="str">
        <x:v>{"side": "BUY", "symbol": "HOLOUSDT", "order_id": 168630830, "quantity": "485.40000000", "price": "0.0618", "quote_amount": "29.99772000", "quote_asset": "USDT", "signal_candle_close_time": 1789355999999, "reason": "strategy buy signal", "entry_conditions": {"rsi_recovered": false, "near_support": true, "trend_ok": true, "reward_ok": true, "stop_risk_ok": true, "momentum_ok": true}, "environment": "production", "recorded_at": 1789356003}</x:v>
      </x:c>
      <x:c r="X156" s="10" t="n">
        <x:v>0</x:v>
      </x:c>
      <x:c r="Y156" s="8" t="n">
        <x:v>46279.13892361111</x:v>
      </x:c>
      <x:c r="Z156" s="3" t="str">
        <x:v>2026-09-14</x:v>
      </x:c>
      <x:c r="AA156" s="3" t="str">
        <x:v>ACTIVE / MIXED</x:v>
      </x:c>
      <x:c r="AB156" s="8" t="n">
        <x:v>46279.256689814814</x:v>
      </x:c>
      <x:c r="AC156" s="10" t="n">
        <x:v>625</x:v>
      </x:c>
      <x:c r="AD156" s="3" t="str">
        <x:v>rsi_recovered</x:v>
      </x:c>
      <x:c r="AE156" s="3"/>
      <x:c r="AF156" s="9"/>
      <x:c r="AG156" s="3"/>
      <x:c r="AH156" s="9"/>
      <x:c r="AI156" s="9"/>
      <x:c r="AJ156" s="3"/>
      <x:c r="AK156" s="9"/>
      <x:c r="AL156" s="3"/>
      <x:c r="AM156" s="3"/>
    </x:row>
    <x:row r="157" ht="21" customHeight="1">
      <x:c r="A157" s="8" t="n">
        <x:v>46279.27123842593</x:v>
      </x:c>
      <x:c r="B157" s="3" t="str">
        <x:v>SNDKBUSDT</x:v>
      </x:c>
      <x:c r="C157" s="3" t="str">
        <x:v>BUY</x:v>
      </x:c>
      <x:c r="D157" s="3" t="str">
        <x:v>343259552</x:v>
      </x:c>
      <x:c r="E157" s="9" t="n">
        <x:v>0.0191</x:v>
      </x:c>
      <x:c r="F157" s="9" t="n">
        <x:v>1568.69</x:v>
      </x:c>
      <x:c r="G157" s="9" t="n">
        <x:v>29.961979</x:v>
      </x:c>
      <x:c r="H157" s="9"/>
      <x:c r="I157" s="3"/>
      <x:c r="J157" s="3" t="str">
        <x:v>gross only; actual fees not recorded</x:v>
      </x:c>
      <x:c r="K157" s="3" t="str">
        <x:v>strategy buy signal</x:v>
      </x:c>
      <x:c r="L157" s="3" t="str">
        <x:v>production</x:v>
      </x:c>
      <x:c r="M157" s="10" t="n">
        <x:v>775</x:v>
      </x:c>
      <x:c r="N157" s="3" t="str">
        <x:v>USDT</x:v>
      </x:c>
      <x:c r="O157" s="9" t="n">
        <x:v>1789356599999</x:v>
      </x:c>
      <x:c r="P157" s="4" t="b">
        <x:v>0</x:v>
      </x:c>
      <x:c r="Q157" s="4" t="b">
        <x:v>1</x:v>
      </x:c>
      <x:c r="R157" s="4" t="b">
        <x:v>1</x:v>
      </x:c>
      <x:c r="S157" s="4" t="b">
        <x:v>1</x:v>
      </x:c>
      <x:c r="T157" s="4" t="b">
        <x:v>1</x:v>
      </x:c>
      <x:c r="U157" s="4" t="b">
        <x:v>1</x:v>
      </x:c>
      <x:c r="V157" s="10" t="n">
        <x:v>1789356635</x:v>
      </x:c>
      <x:c r="W157" s="3" t="str">
        <x:v>{"side": "BUY", "symbol": "SNDKBUSDT", "order_id": 343259552, "quantity": "0.01910000", "price": "1568.69", "quote_amount": "29.96197900", "quote_asset": "USDT", "signal_candle_close_time": 1789356599999, "reason": "strategy buy signal", "entry_conditions": {"rsi_recovered": false, "near_support": true, "trend_ok": true, "reward_ok": true, "stop_risk_ok": true, "momentum_ok": true}, "environment": "production", "recorded_at": 1789356635}</x:v>
      </x:c>
      <x:c r="X157" s="10" t="n">
        <x:v>0</x:v>
      </x:c>
      <x:c r="Y157" s="8" t="n">
        <x:v>46279.14623842593</x:v>
      </x:c>
      <x:c r="Z157" s="3" t="str">
        <x:v>2026-09-14</x:v>
      </x:c>
      <x:c r="AA157" s="3" t="str">
        <x:v>ACTIVE / MIXED</x:v>
      </x:c>
      <x:c r="AB157" s="8" t="n">
        <x:v>46279.2674537037</x:v>
      </x:c>
      <x:c r="AC157" s="10" t="n">
        <x:v>327</x:v>
      </x:c>
      <x:c r="AD157" s="3" t="str">
        <x:v>rsi_recovered</x:v>
      </x:c>
      <x:c r="AE157" s="3"/>
      <x:c r="AF157" s="9"/>
      <x:c r="AG157" s="3"/>
      <x:c r="AH157" s="9"/>
      <x:c r="AI157" s="9"/>
      <x:c r="AJ157" s="3"/>
      <x:c r="AK157" s="9"/>
      <x:c r="AL157" s="3"/>
      <x:c r="AM157" s="3"/>
    </x:row>
    <x:row r="158" ht="21" customHeight="1">
      <x:c r="A158" s="8" t="n">
        <x:v>46279.274409722224</x:v>
      </x:c>
      <x:c r="B158" s="3" t="str">
        <x:v>TAOUSDT</x:v>
      </x:c>
      <x:c r="C158" s="3" t="str">
        <x:v>BUY</x:v>
      </x:c>
      <x:c r="D158" s="3" t="str">
        <x:v>2570216819</x:v>
      </x:c>
      <x:c r="E158" s="9" t="n">
        <x:v>0.1273</x:v>
      </x:c>
      <x:c r="F158" s="9" t="n">
        <x:v>235.6</x:v>
      </x:c>
      <x:c r="G158" s="9" t="n">
        <x:v>29.99188</x:v>
      </x:c>
      <x:c r="H158" s="9"/>
      <x:c r="I158" s="3"/>
      <x:c r="J158" s="3" t="str">
        <x:v>gross only; actual fees not recorded</x:v>
      </x:c>
      <x:c r="K158" s="3" t="str">
        <x:v>strategy buy signal</x:v>
      </x:c>
      <x:c r="L158" s="3" t="str">
        <x:v>production</x:v>
      </x:c>
      <x:c r="M158" s="10" t="n">
        <x:v>776</x:v>
      </x:c>
      <x:c r="N158" s="3" t="str">
        <x:v>USDT</x:v>
      </x:c>
      <x:c r="O158" s="9" t="n">
        <x:v>1789356899999</x:v>
      </x:c>
      <x:c r="P158" s="4" t="b">
        <x:v>0</x:v>
      </x:c>
      <x:c r="Q158" s="4" t="b">
        <x:v>1</x:v>
      </x:c>
      <x:c r="R158" s="4" t="b">
        <x:v>1</x:v>
      </x:c>
      <x:c r="S158" s="4" t="b">
        <x:v>1</x:v>
      </x:c>
      <x:c r="T158" s="4" t="b">
        <x:v>1</x:v>
      </x:c>
      <x:c r="U158" s="4" t="b">
        <x:v>1</x:v>
      </x:c>
      <x:c r="V158" s="10" t="n">
        <x:v>1789356909</x:v>
      </x:c>
      <x:c r="W158" s="3" t="str">
        <x:v>{"side": "BUY", "symbol": "TAOUSDT", "order_id": 2570216819, "quantity": "0.12730000", "price": "235.6", "quote_amount": "29.99188000", "quote_asset": "USDT", "signal_candle_close_time": 1789356899999, "reason": "strategy buy signal", "entry_conditions": {"rsi_recovered": false, "near_support": true, "trend_ok": true, "reward_ok": true, "stop_risk_ok": true, "momentum_ok": true}, "environment": "production", "recorded_at": 1789356909}</x:v>
      </x:c>
      <x:c r="X158" s="10" t="n">
        <x:v>0</x:v>
      </x:c>
      <x:c r="Y158" s="8" t="n">
        <x:v>46279.149409722224</x:v>
      </x:c>
      <x:c r="Z158" s="3" t="str">
        <x:v>2026-09-14</x:v>
      </x:c>
      <x:c r="AA158" s="3" t="str">
        <x:v>ACTIVE / MIXED</x:v>
      </x:c>
      <x:c r="AB158" s="8" t="n">
        <x:v>46279.2674537037</x:v>
      </x:c>
      <x:c r="AC158" s="10" t="n">
        <x:v>601</x:v>
      </x:c>
      <x:c r="AD158" s="3" t="str">
        <x:v>rsi_recovered</x:v>
      </x:c>
      <x:c r="AE158" s="3"/>
      <x:c r="AF158" s="9"/>
      <x:c r="AG158" s="3"/>
      <x:c r="AH158" s="9"/>
      <x:c r="AI158" s="9"/>
      <x:c r="AJ158" s="3"/>
      <x:c r="AK158" s="9"/>
      <x:c r="AL158" s="3"/>
      <x:c r="AM158" s="3"/>
    </x:row>
    <x:row r="159" ht="21" customHeight="1">
      <x:c r="A159" s="8" t="n">
        <x:v>46279.27443287037</x:v>
      </x:c>
      <x:c r="B159" s="3" t="str">
        <x:v>LTCUSDT</x:v>
      </x:c>
      <x:c r="C159" s="3" t="str">
        <x:v>BUY</x:v>
      </x:c>
      <x:c r="D159" s="3" t="str">
        <x:v>7421880443</x:v>
      </x:c>
      <x:c r="E159" s="9" t="n">
        <x:v>0.552</x:v>
      </x:c>
      <x:c r="F159" s="9" t="n">
        <x:v>54.32</x:v>
      </x:c>
      <x:c r="G159" s="9" t="n">
        <x:v>29.98464</x:v>
      </x:c>
      <x:c r="H159" s="9"/>
      <x:c r="I159" s="3"/>
      <x:c r="J159" s="3" t="str">
        <x:v>gross only; actual fees not recorded</x:v>
      </x:c>
      <x:c r="K159" s="3" t="str">
        <x:v>strategy buy signal</x:v>
      </x:c>
      <x:c r="L159" s="3" t="str">
        <x:v>production</x:v>
      </x:c>
      <x:c r="M159" s="10" t="n">
        <x:v>777</x:v>
      </x:c>
      <x:c r="N159" s="3" t="str">
        <x:v>USDT</x:v>
      </x:c>
      <x:c r="O159" s="9" t="n">
        <x:v>1789356899999</x:v>
      </x:c>
      <x:c r="P159" s="4" t="b">
        <x:v>0</x:v>
      </x:c>
      <x:c r="Q159" s="4" t="b">
        <x:v>1</x:v>
      </x:c>
      <x:c r="R159" s="4" t="b">
        <x:v>1</x:v>
      </x:c>
      <x:c r="S159" s="4" t="b">
        <x:v>1</x:v>
      </x:c>
      <x:c r="T159" s="4" t="b">
        <x:v>1</x:v>
      </x:c>
      <x:c r="U159" s="4" t="b">
        <x:v>1</x:v>
      </x:c>
      <x:c r="V159" s="10" t="n">
        <x:v>1789356911</x:v>
      </x:c>
      <x:c r="W159" s="3" t="str">
        <x:v>{"side": "BUY", "symbol": "LTCUSDT", "order_id": 7421880443, "quantity": "0.55200000", "price": "54.32", "quote_amount": "29.98464000", "quote_asset": "USDT", "signal_candle_close_time": 1789356899999, "reason": "strategy buy signal", "entry_conditions": {"rsi_recovered": false, "near_support": true, "trend_ok": true, "reward_ok": true, "stop_risk_ok": true, "momentum_ok": true}, "environment": "production", "recorded_at": 1789356911}</x:v>
      </x:c>
      <x:c r="X159" s="10" t="n">
        <x:v>0</x:v>
      </x:c>
      <x:c r="Y159" s="8" t="n">
        <x:v>46279.14943287037</x:v>
      </x:c>
      <x:c r="Z159" s="3" t="str">
        <x:v>2026-09-14</x:v>
      </x:c>
      <x:c r="AA159" s="3" t="str">
        <x:v>ACTIVE / MIXED</x:v>
      </x:c>
      <x:c r="AB159" s="8" t="n">
        <x:v>46279.2674537037</x:v>
      </x:c>
      <x:c r="AC159" s="10" t="n">
        <x:v>603</x:v>
      </x:c>
      <x:c r="AD159" s="3" t="str">
        <x:v>rsi_recovered</x:v>
      </x:c>
      <x:c r="AE159" s="3"/>
      <x:c r="AF159" s="9"/>
      <x:c r="AG159" s="3"/>
      <x:c r="AH159" s="9"/>
      <x:c r="AI159" s="9"/>
      <x:c r="AJ159" s="3"/>
      <x:c r="AK159" s="9"/>
      <x:c r="AL159" s="3"/>
      <x:c r="AM159" s="3"/>
    </x:row>
    <x:row r="160" ht="21" customHeight="1">
      <x:c r="A160" s="8" t="n">
        <x:v>46279.277974537035</x:v>
      </x:c>
      <x:c r="B160" s="3" t="str">
        <x:v>HOLOUSDT</x:v>
      </x:c>
      <x:c r="C160" s="3" t="str">
        <x:v>SELL</x:v>
      </x:c>
      <x:c r="D160" s="3" t="str">
        <x:v>168636250</x:v>
      </x:c>
      <x:c r="E160" s="9" t="n">
        <x:v>485.4</x:v>
      </x:c>
      <x:c r="F160" s="9" t="n">
        <x:v>0.0612</x:v>
      </x:c>
      <x:c r="G160" s="9" t="n">
        <x:v>29.70648</x:v>
      </x:c>
      <x:c r="H160" s="9" t="n">
        <x:v>-0.29124</x:v>
      </x:c>
      <x:c r="I160" s="3"/>
      <x:c r="J160" s="3" t="str">
        <x:v>gross only; actual fees not recorded</x:v>
      </x:c>
      <x:c r="K160" s="3" t="str">
        <x:v>stop loss</x:v>
      </x:c>
      <x:c r="L160" s="3" t="str">
        <x:v>production</x:v>
      </x:c>
      <x:c r="M160" s="10" t="n">
        <x:v>778</x:v>
      </x:c>
      <x:c r="N160" s="3" t="str">
        <x:v>USDT</x:v>
      </x:c>
      <x:c r="O160" s="9"/>
      <x:c r="P160" s="3"/>
      <x:c r="Q160" s="3"/>
      <x:c r="R160" s="3"/>
      <x:c r="S160" s="3"/>
      <x:c r="T160" s="3"/>
      <x:c r="U160" s="3"/>
      <x:c r="V160" s="10" t="n">
        <x:v>1789357217</x:v>
      </x:c>
      <x:c r="W160" s="3" t="str">
        <x:v>{"side": "SELL", "symbol": "HOLOUSDT", "order_id": 168636250, "quantity": "485.40000000", "price": "0.0612", "quote_amount": "29.70648000", "quote_asset": "USDT", "reason": "stop loss", "estimated_pnl_usdt": "-0.291240000000", "environment": "production", "recorded_at": 1789357217}</x:v>
      </x:c>
      <x:c r="X160" s="10" t="n">
        <x:v>0</x:v>
      </x:c>
      <x:c r="Y160" s="8" t="n">
        <x:v>46279.152974537035</x:v>
      </x:c>
      <x:c r="Z160" s="3" t="str">
        <x:v>2026-09-14</x:v>
      </x:c>
      <x:c r="AA160" s="3" t="str">
        <x:v>ACTIVE / MIXED</x:v>
      </x:c>
      <x:c r="AB160" s="8" t="n">
        <x:v>46279.27789351852</x:v>
      </x:c>
      <x:c r="AC160" s="10" t="n">
        <x:v>7</x:v>
      </x:c>
      <x:c r="AD160" s="3"/>
      <x:c r="AE160" s="3"/>
      <x:c r="AF160" s="9"/>
      <x:c r="AG160" s="3"/>
      <x:c r="AH160" s="9"/>
      <x:c r="AI160" s="9"/>
      <x:c r="AJ160" s="3"/>
      <x:c r="AK160" s="9"/>
      <x:c r="AL160" s="3"/>
      <x:c r="AM160" s="3"/>
    </x:row>
    <x:row r="161" ht="21" customHeight="1">
      <x:c r="A161" s="8" t="n">
        <x:v>46279.278078703705</x:v>
      </x:c>
      <x:c r="B161" s="3" t="str">
        <x:v>WLDUSDT</x:v>
      </x:c>
      <x:c r="C161" s="3" t="str">
        <x:v>BUY</x:v>
      </x:c>
      <x:c r="D161" s="3" t="str">
        <x:v>4152898030</x:v>
      </x:c>
      <x:c r="E161" s="9" t="n">
        <x:v>77.7</x:v>
      </x:c>
      <x:c r="F161" s="9" t="n">
        <x:v>0.3858</x:v>
      </x:c>
      <x:c r="G161" s="9" t="n">
        <x:v>29.97666</x:v>
      </x:c>
      <x:c r="H161" s="9"/>
      <x:c r="I161" s="3"/>
      <x:c r="J161" s="3" t="str">
        <x:v>gross only; actual fees not recorded</x:v>
      </x:c>
      <x:c r="K161" s="3" t="str">
        <x:v>strategy buy signal</x:v>
      </x:c>
      <x:c r="L161" s="3" t="str">
        <x:v>production</x:v>
      </x:c>
      <x:c r="M161" s="10" t="n">
        <x:v>779</x:v>
      </x:c>
      <x:c r="N161" s="3" t="str">
        <x:v>USDT</x:v>
      </x:c>
      <x:c r="O161" s="9" t="n">
        <x:v>1789357199999</x:v>
      </x:c>
      <x:c r="P161" s="4" t="b">
        <x:v>1</x:v>
      </x:c>
      <x:c r="Q161" s="4" t="b">
        <x:v>0</x:v>
      </x:c>
      <x:c r="R161" s="4" t="b">
        <x:v>1</x:v>
      </x:c>
      <x:c r="S161" s="4" t="b">
        <x:v>1</x:v>
      </x:c>
      <x:c r="T161" s="4" t="b">
        <x:v>1</x:v>
      </x:c>
      <x:c r="U161" s="4" t="b">
        <x:v>1</x:v>
      </x:c>
      <x:c r="V161" s="10" t="n">
        <x:v>1789357226</x:v>
      </x:c>
      <x:c r="W161" s="3" t="str">
        <x:v>{"side": "BUY", "symbol": "WLDUSDT", "order_id": 4152898030, "quantity": "77.70000000", "price": "0.3858", "quote_amount": "29.97666000", "quote_asset": "USDT", "signal_candle_close_time": 1789357199999, "reason": "strategy buy signal", "entry_conditions": {"rsi_recovered": true, "near_support": false, "trend_ok": true, "reward_ok": true, "stop_risk_ok": true, "momentum_ok": true}, "environment": "production", "recorded_at": 1789357226}</x:v>
      </x:c>
      <x:c r="X161" s="10" t="n">
        <x:v>0</x:v>
      </x:c>
      <x:c r="Y161" s="8" t="n">
        <x:v>46279.153078703705</x:v>
      </x:c>
      <x:c r="Z161" s="3" t="str">
        <x:v>2026-09-14</x:v>
      </x:c>
      <x:c r="AA161" s="3" t="str">
        <x:v>ACTIVE / MIXED</x:v>
      </x:c>
      <x:c r="AB161" s="8" t="n">
        <x:v>46279.27789351852</x:v>
      </x:c>
      <x:c r="AC161" s="10" t="n">
        <x:v>16</x:v>
      </x:c>
      <x:c r="AD161" s="3" t="str">
        <x:v>near_support</x:v>
      </x:c>
      <x:c r="AE161" s="3"/>
      <x:c r="AF161" s="9"/>
      <x:c r="AG161" s="3"/>
      <x:c r="AH161" s="9"/>
      <x:c r="AI161" s="9"/>
      <x:c r="AJ161" s="3"/>
      <x:c r="AK161" s="9"/>
      <x:c r="AL161" s="3"/>
      <x:c r="AM161" s="3"/>
    </x:row>
    <x:row r="162" ht="21" customHeight="1">
      <x:c r="A162" s="8" t="n">
        <x:v>46279.27811342593</x:v>
      </x:c>
      <x:c r="B162" s="3" t="str">
        <x:v>BCHUSDT</x:v>
      </x:c>
      <x:c r="C162" s="3" t="str">
        <x:v>BUY</x:v>
      </x:c>
      <x:c r="D162" s="3" t="str">
        <x:v>5500482071</x:v>
      </x:c>
      <x:c r="E162" s="9" t="n">
        <x:v>0.134</x:v>
      </x:c>
      <x:c r="F162" s="9" t="n">
        <x:v>223.6</x:v>
      </x:c>
      <x:c r="G162" s="9" t="n">
        <x:v>29.9624</x:v>
      </x:c>
      <x:c r="H162" s="9"/>
      <x:c r="I162" s="3"/>
      <x:c r="J162" s="3" t="str">
        <x:v>gross only; actual fees not recorded</x:v>
      </x:c>
      <x:c r="K162" s="3" t="str">
        <x:v>strategy buy signal</x:v>
      </x:c>
      <x:c r="L162" s="3" t="str">
        <x:v>production</x:v>
      </x:c>
      <x:c r="M162" s="10" t="n">
        <x:v>780</x:v>
      </x:c>
      <x:c r="N162" s="3" t="str">
        <x:v>USDT</x:v>
      </x:c>
      <x:c r="O162" s="9" t="n">
        <x:v>1789357199999</x:v>
      </x:c>
      <x:c r="P162" s="4" t="b">
        <x:v>0</x:v>
      </x:c>
      <x:c r="Q162" s="4" t="b">
        <x:v>1</x:v>
      </x:c>
      <x:c r="R162" s="4" t="b">
        <x:v>1</x:v>
      </x:c>
      <x:c r="S162" s="4" t="b">
        <x:v>1</x:v>
      </x:c>
      <x:c r="T162" s="4" t="b">
        <x:v>1</x:v>
      </x:c>
      <x:c r="U162" s="4" t="b">
        <x:v>1</x:v>
      </x:c>
      <x:c r="V162" s="10" t="n">
        <x:v>1789357229</x:v>
      </x:c>
      <x:c r="W162" s="3" t="str">
        <x:v>{"side": "BUY", "symbol": "BCHUSDT", "order_id": 5500482071, "quantity": "0.13400000", "price": "223.6", "quote_amount": "29.96240000", "quote_asset": "USDT", "signal_candle_close_time": 1789357199999, "reason": "strategy buy signal", "entry_conditions": {"rsi_recovered": false, "near_support": true, "trend_ok": true, "reward_ok": true, "stop_risk_ok": true, "momentum_ok": true}, "environment": "production", "recorded_at": 1789357229}</x:v>
      </x:c>
      <x:c r="X162" s="10" t="n">
        <x:v>0</x:v>
      </x:c>
      <x:c r="Y162" s="8" t="n">
        <x:v>46279.15311342593</x:v>
      </x:c>
      <x:c r="Z162" s="3" t="str">
        <x:v>2026-09-14</x:v>
      </x:c>
      <x:c r="AA162" s="3" t="str">
        <x:v>ACTIVE / MIXED</x:v>
      </x:c>
      <x:c r="AB162" s="8" t="n">
        <x:v>46279.27789351852</x:v>
      </x:c>
      <x:c r="AC162" s="10" t="n">
        <x:v>19</x:v>
      </x:c>
      <x:c r="AD162" s="3" t="str">
        <x:v>rsi_recovered</x:v>
      </x:c>
      <x:c r="AE162" s="3"/>
      <x:c r="AF162" s="9"/>
      <x:c r="AG162" s="3"/>
      <x:c r="AH162" s="9"/>
      <x:c r="AI162" s="9"/>
      <x:c r="AJ162" s="3"/>
      <x:c r="AK162" s="9"/>
      <x:c r="AL162" s="3"/>
      <x:c r="AM162" s="3"/>
    </x:row>
    <x:row r="163" ht="21" customHeight="1">
      <x:c r="A163" s="8" t="n">
        <x:v>46279.28475694444</x:v>
      </x:c>
      <x:c r="B163" s="3" t="str">
        <x:v>LINKUSDT</x:v>
      </x:c>
      <x:c r="C163" s="3" t="str">
        <x:v>BUY</x:v>
      </x:c>
      <x:c r="D163" s="3" t="str">
        <x:v>8010355466</x:v>
      </x:c>
      <x:c r="E163" s="9" t="n">
        <x:v>2.64</x:v>
      </x:c>
      <x:c r="F163" s="9" t="n">
        <x:v>11.358</x:v>
      </x:c>
      <x:c r="G163" s="9" t="n">
        <x:v>29.98512</x:v>
      </x:c>
      <x:c r="H163" s="9"/>
      <x:c r="I163" s="3"/>
      <x:c r="J163" s="3" t="str">
        <x:v>gross only; actual fees not recorded</x:v>
      </x:c>
      <x:c r="K163" s="3" t="str">
        <x:v>strategy buy signal</x:v>
      </x:c>
      <x:c r="L163" s="3" t="str">
        <x:v>production</x:v>
      </x:c>
      <x:c r="M163" s="10" t="n">
        <x:v>781</x:v>
      </x:c>
      <x:c r="N163" s="3" t="str">
        <x:v>USDT</x:v>
      </x:c>
      <x:c r="O163" s="9" t="n">
        <x:v>1789357799999</x:v>
      </x:c>
      <x:c r="P163" s="4" t="b">
        <x:v>0</x:v>
      </x:c>
      <x:c r="Q163" s="4" t="b">
        <x:v>1</x:v>
      </x:c>
      <x:c r="R163" s="4" t="b">
        <x:v>1</x:v>
      </x:c>
      <x:c r="S163" s="4" t="b">
        <x:v>1</x:v>
      </x:c>
      <x:c r="T163" s="4" t="b">
        <x:v>1</x:v>
      </x:c>
      <x:c r="U163" s="4" t="b">
        <x:v>1</x:v>
      </x:c>
      <x:c r="V163" s="10" t="n">
        <x:v>1789357803</x:v>
      </x:c>
      <x:c r="W163" s="3" t="str">
        <x:v>{"side": "BUY", "symbol": "LINKUSDT", "order_id": 8010355466, "quantity": "2.64000000", "price": "11.358", "quote_amount": "29.98512000", "quote_asset": "USDT", "signal_candle_close_time": 1789357799999, "reason": "strategy buy signal", "entry_conditions": {"rsi_recovered": false, "near_support": true, "trend_ok": true, "reward_ok": true, "stop_risk_ok": true, "momentum_ok": true}, "environment": "production", "recorded_at": 1789357803}</x:v>
      </x:c>
      <x:c r="X163" s="10" t="n">
        <x:v>0</x:v>
      </x:c>
      <x:c r="Y163" s="8" t="n">
        <x:v>46279.15975694444</x:v>
      </x:c>
      <x:c r="Z163" s="3" t="str">
        <x:v>2026-09-14</x:v>
      </x:c>
      <x:c r="AA163" s="3" t="str">
        <x:v>ACTIVE / MIXED</x:v>
      </x:c>
      <x:c r="AB163" s="8" t="n">
        <x:v>46279.27789351852</x:v>
      </x:c>
      <x:c r="AC163" s="10" t="n">
        <x:v>593</x:v>
      </x:c>
      <x:c r="AD163" s="3" t="str">
        <x:v>rsi_recovered</x:v>
      </x:c>
      <x:c r="AE163" s="3"/>
      <x:c r="AF163" s="9"/>
      <x:c r="AG163" s="3"/>
      <x:c r="AH163" s="9"/>
      <x:c r="AI163" s="9"/>
      <x:c r="AJ163" s="3"/>
      <x:c r="AK163" s="9"/>
      <x:c r="AL163" s="3"/>
      <x:c r="AM163" s="3"/>
    </x:row>
    <x:row r="164" ht="21" customHeight="1">
      <x:c r="A164" s="8" t="n">
        <x:v>46279.30789351852</x:v>
      </x:c>
      <x:c r="B164" s="3" t="str">
        <x:v>LINKUSDT</x:v>
      </x:c>
      <x:c r="C164" s="3" t="str">
        <x:v>SELL</x:v>
      </x:c>
      <x:c r="D164" s="3" t="str">
        <x:v>8010388555</x:v>
      </x:c>
      <x:c r="E164" s="9" t="n">
        <x:v>2.64</x:v>
      </x:c>
      <x:c r="F164" s="9" t="n">
        <x:v>11.409</x:v>
      </x:c>
      <x:c r="G164" s="9" t="n">
        <x:v>30.11976</x:v>
      </x:c>
      <x:c r="H164" s="9" t="n">
        <x:v>0.13464</x:v>
      </x:c>
      <x:c r="I164" s="3"/>
      <x:c r="J164" s="3" t="str">
        <x:v>gross only; actual fees not recorded</x:v>
      </x:c>
      <x:c r="K164" s="3" t="str">
        <x:v>take profit</x:v>
      </x:c>
      <x:c r="L164" s="3" t="str">
        <x:v>production</x:v>
      </x:c>
      <x:c r="M164" s="10" t="n">
        <x:v>782</x:v>
      </x:c>
      <x:c r="N164" s="3" t="str">
        <x:v>USDT</x:v>
      </x:c>
      <x:c r="O164" s="9"/>
      <x:c r="P164" s="3"/>
      <x:c r="Q164" s="3"/>
      <x:c r="R164" s="3"/>
      <x:c r="S164" s="3"/>
      <x:c r="T164" s="3"/>
      <x:c r="U164" s="3"/>
      <x:c r="V164" s="10" t="n">
        <x:v>1789359802</x:v>
      </x:c>
      <x:c r="W164" s="3" t="str">
        <x:v>{"side": "SELL", "symbol": "LINKUSDT", "order_id": 8010388555, "quantity": "2.64000000", "price": "11.409", "quote_amount": "30.11976000", "quote_asset": "USDT", "reason": "take profit", "estimated_pnl_usdt": "0.13464000000", "environment": "production", "recorded_at": 1789359802}</x:v>
      </x:c>
      <x:c r="X164" s="10" t="n">
        <x:v>0</x:v>
      </x:c>
      <x:c r="Y164" s="8" t="n">
        <x:v>46279.18289351852</x:v>
      </x:c>
      <x:c r="Z164" s="3" t="str">
        <x:v>2026-09-14</x:v>
      </x:c>
      <x:c r="AA164" s="3" t="str">
        <x:v>ACTIVE / MIXED</x:v>
      </x:c>
      <x:c r="AB164" s="8" t="n">
        <x:v>46279.29918981482</x:v>
      </x:c>
      <x:c r="AC164" s="10" t="n">
        <x:v>752</x:v>
      </x:c>
      <x:c r="AD164" s="3"/>
      <x:c r="AE164" s="3"/>
      <x:c r="AF164" s="9"/>
      <x:c r="AG164" s="3"/>
      <x:c r="AH164" s="9"/>
      <x:c r="AI164" s="9"/>
      <x:c r="AJ164" s="3"/>
      <x:c r="AK164" s="9"/>
      <x:c r="AL164" s="3"/>
      <x:c r="AM164" s="3"/>
    </x:row>
    <x:row r="165" ht="21" customHeight="1">
      <x:c r="A165" s="8" t="n">
        <x:v>46279.308020833334</x:v>
      </x:c>
      <x:c r="B165" s="3" t="str">
        <x:v>ADAUSDT</x:v>
      </x:c>
      <x:c r="C165" s="3" t="str">
        <x:v>BUY</x:v>
      </x:c>
      <x:c r="D165" s="3" t="str">
        <x:v>8786966570</x:v>
      </x:c>
      <x:c r="E165" s="9" t="n">
        <x:v>144.6</x:v>
      </x:c>
      <x:c r="F165" s="9" t="n">
        <x:v>0.2074</x:v>
      </x:c>
      <x:c r="G165" s="9" t="n">
        <x:v>29.99004</x:v>
      </x:c>
      <x:c r="H165" s="9"/>
      <x:c r="I165" s="3"/>
      <x:c r="J165" s="3" t="str">
        <x:v>gross only; actual fees not recorded</x:v>
      </x:c>
      <x:c r="K165" s="3" t="str">
        <x:v>strategy buy signal</x:v>
      </x:c>
      <x:c r="L165" s="3" t="str">
        <x:v>production</x:v>
      </x:c>
      <x:c r="M165" s="10" t="n">
        <x:v>783</x:v>
      </x:c>
      <x:c r="N165" s="3" t="str">
        <x:v>USDT</x:v>
      </x:c>
      <x:c r="O165" s="9" t="n">
        <x:v>1789359599999</x:v>
      </x:c>
      <x:c r="P165" s="4" t="b">
        <x:v>0</x:v>
      </x:c>
      <x:c r="Q165" s="4" t="b">
        <x:v>1</x:v>
      </x:c>
      <x:c r="R165" s="4" t="b">
        <x:v>1</x:v>
      </x:c>
      <x:c r="S165" s="4" t="b">
        <x:v>1</x:v>
      </x:c>
      <x:c r="T165" s="4" t="b">
        <x:v>1</x:v>
      </x:c>
      <x:c r="U165" s="4" t="b">
        <x:v>1</x:v>
      </x:c>
      <x:c r="V165" s="10" t="n">
        <x:v>1789359813</x:v>
      </x:c>
      <x:c r="W165" s="3" t="str">
        <x:v>{"side": "BUY", "symbol": "ADAUSDT", "order_id": 8786966570, "quantity": "144.60000000", "price": "0.2074", "quote_amount": "29.99004000", "quote_asset": "USDT", "signal_candle_close_time": 1789359599999, "reason": "strategy buy signal", "entry_conditions": {"rsi_recovered": false, "near_support": true, "trend_ok": true, "reward_ok": true, "stop_risk_ok": true, "momentum_ok": true}, "environment": "production", "recorded_at": 1789359813}</x:v>
      </x:c>
      <x:c r="X165" s="10" t="n">
        <x:v>0</x:v>
      </x:c>
      <x:c r="Y165" s="8" t="n">
        <x:v>46279.183020833334</x:v>
      </x:c>
      <x:c r="Z165" s="3" t="str">
        <x:v>2026-09-14</x:v>
      </x:c>
      <x:c r="AA165" s="3" t="str">
        <x:v>ACTIVE / MIXED</x:v>
      </x:c>
      <x:c r="AB165" s="8" t="n">
        <x:v>46279.29918981482</x:v>
      </x:c>
      <x:c r="AC165" s="10" t="n">
        <x:v>763</x:v>
      </x:c>
      <x:c r="AD165" s="3" t="str">
        <x:v>rsi_recovered</x:v>
      </x:c>
      <x:c r="AE165" s="3"/>
      <x:c r="AF165" s="9"/>
      <x:c r="AG165" s="3"/>
      <x:c r="AH165" s="9"/>
      <x:c r="AI165" s="9"/>
      <x:c r="AJ165" s="3"/>
      <x:c r="AK165" s="9"/>
      <x:c r="AL165" s="3"/>
      <x:c r="AM165" s="3"/>
    </x:row>
    <x:row r="166" ht="21" customHeight="1">
      <x:c r="A166" s="8" t="n">
        <x:v>46279.31974537037</x:v>
      </x:c>
      <x:c r="B166" s="3" t="str">
        <x:v>BCHUSDT</x:v>
      </x:c>
      <x:c r="C166" s="3" t="str">
        <x:v>SELL</x:v>
      </x:c>
      <x:c r="D166" s="3" t="str">
        <x:v>5500507836</x:v>
      </x:c>
      <x:c r="E166" s="9" t="n">
        <x:v>0.134</x:v>
      </x:c>
      <x:c r="F166" s="9" t="n">
        <x:v>224.6</x:v>
      </x:c>
      <x:c r="G166" s="9" t="n">
        <x:v>30.0964</x:v>
      </x:c>
      <x:c r="H166" s="9" t="n">
        <x:v>0.134</x:v>
      </x:c>
      <x:c r="I166" s="3"/>
      <x:c r="J166" s="3" t="str">
        <x:v>gross only; actual fees not recorded</x:v>
      </x:c>
      <x:c r="K166" s="3" t="str">
        <x:v>take profit</x:v>
      </x:c>
      <x:c r="L166" s="3" t="str">
        <x:v>production</x:v>
      </x:c>
      <x:c r="M166" s="10" t="n">
        <x:v>784</x:v>
      </x:c>
      <x:c r="N166" s="3" t="str">
        <x:v>USDT</x:v>
      </x:c>
      <x:c r="O166" s="9"/>
      <x:c r="P166" s="3"/>
      <x:c r="Q166" s="3"/>
      <x:c r="R166" s="3"/>
      <x:c r="S166" s="3"/>
      <x:c r="T166" s="3"/>
      <x:c r="U166" s="3"/>
      <x:c r="V166" s="10" t="n">
        <x:v>1789360826</x:v>
      </x:c>
      <x:c r="W166" s="3" t="str">
        <x:v>{"side": "SELL", "symbol": "BCHUSDT", "order_id": 5500507836, "quantity": "0.13400000", "price": "224.6", "quote_amount": "30.09640000", "quote_asset": "USDT", "reason": "take profit", "estimated_pnl_usdt": "0.134000000", "environment": "production", "recorded_at": 1789360826}</x:v>
      </x:c>
      <x:c r="X166" s="10" t="n">
        <x:v>0</x:v>
      </x:c>
      <x:c r="Y166" s="8" t="n">
        <x:v>46279.19474537037</x:v>
      </x:c>
      <x:c r="Z166" s="3" t="str">
        <x:v>2026-09-14</x:v>
      </x:c>
      <x:c r="AA166" s="3" t="str">
        <x:v>ACTIVE / MIXED</x:v>
      </x:c>
      <x:c r="AB166" s="8" t="n">
        <x:v>46279.30997685185</x:v>
      </x:c>
      <x:c r="AC166" s="10" t="n">
        <x:v>844</x:v>
      </x:c>
      <x:c r="AD166" s="3"/>
      <x:c r="AE166" s="3"/>
      <x:c r="AF166" s="9"/>
      <x:c r="AG166" s="3"/>
      <x:c r="AH166" s="9"/>
      <x:c r="AI166" s="9"/>
      <x:c r="AJ166" s="3"/>
      <x:c r="AK166" s="9"/>
      <x:c r="AL166" s="3"/>
      <x:c r="AM166" s="3"/>
    </x:row>
    <x:row r="167" ht="21" customHeight="1">
      <x:c r="A167" s="8" t="n">
        <x:v>46279.320023148146</x:v>
      </x:c>
      <x:c r="B167" s="3" t="str">
        <x:v>SOLUSDT</x:v>
      </x:c>
      <x:c r="C167" s="3" t="str">
        <x:v>BUY</x:v>
      </x:c>
      <x:c r="D167" s="3" t="str">
        <x:v>17796484087</x:v>
      </x:c>
      <x:c r="E167" s="9" t="n">
        <x:v>0.296</x:v>
      </x:c>
      <x:c r="F167" s="9" t="n">
        <x:v>101.2</x:v>
      </x:c>
      <x:c r="G167" s="9" t="n">
        <x:v>29.9552</x:v>
      </x:c>
      <x:c r="H167" s="9"/>
      <x:c r="I167" s="3"/>
      <x:c r="J167" s="3" t="str">
        <x:v>gross only; actual fees not recorded</x:v>
      </x:c>
      <x:c r="K167" s="3" t="str">
        <x:v>strategy buy signal</x:v>
      </x:c>
      <x:c r="L167" s="3" t="str">
        <x:v>production</x:v>
      </x:c>
      <x:c r="M167" s="10" t="n">
        <x:v>785</x:v>
      </x:c>
      <x:c r="N167" s="3" t="str">
        <x:v>USDT</x:v>
      </x:c>
      <x:c r="O167" s="9" t="n">
        <x:v>1789360799999</x:v>
      </x:c>
      <x:c r="P167" s="4" t="b">
        <x:v>0</x:v>
      </x:c>
      <x:c r="Q167" s="4" t="b">
        <x:v>1</x:v>
      </x:c>
      <x:c r="R167" s="4" t="b">
        <x:v>1</x:v>
      </x:c>
      <x:c r="S167" s="4" t="b">
        <x:v>1</x:v>
      </x:c>
      <x:c r="T167" s="4" t="b">
        <x:v>1</x:v>
      </x:c>
      <x:c r="U167" s="4" t="b">
        <x:v>1</x:v>
      </x:c>
      <x:c r="V167" s="10" t="n">
        <x:v>1789360850</x:v>
      </x:c>
      <x:c r="W167" s="3" t="str">
        <x:v>{"side": "BUY", "symbol": "SOLUSDT", "order_id": 17796484087, "quantity": "0.29600000", "price": "101.2", "quote_amount": "29.95520000", "quote_asset": "USDT", "signal_candle_close_time": 1789360799999, "reason": "strategy buy signal", "entry_conditions": {"rsi_recovered": false, "near_support": true, "trend_ok": true, "reward_ok": true, "stop_risk_ok": true, "momentum_ok": true}, "environment": "production", "recorded_at": 1789360850}</x:v>
      </x:c>
      <x:c r="X167" s="10" t="n">
        <x:v>0</x:v>
      </x:c>
      <x:c r="Y167" s="8" t="n">
        <x:v>46279.195023148146</x:v>
      </x:c>
      <x:c r="Z167" s="3" t="str">
        <x:v>2026-09-14</x:v>
      </x:c>
      <x:c r="AA167" s="3" t="str">
        <x:v>ACTIVE / MIXED</x:v>
      </x:c>
      <x:c r="AB167" s="8" t="n">
        <x:v>46279.30997685185</x:v>
      </x:c>
      <x:c r="AC167" s="10" t="n">
        <x:v>868</x:v>
      </x:c>
      <x:c r="AD167" s="3" t="str">
        <x:v>rsi_recovered</x:v>
      </x:c>
      <x:c r="AE167" s="3"/>
      <x:c r="AF167" s="9"/>
      <x:c r="AG167" s="3"/>
      <x:c r="AH167" s="9"/>
      <x:c r="AI167" s="9"/>
      <x:c r="AJ167" s="3"/>
      <x:c r="AK167" s="9"/>
      <x:c r="AL167" s="3"/>
      <x:c r="AM167" s="3"/>
    </x:row>
    <x:row r="168" ht="21" customHeight="1">
      <x:c r="A168" s="8" t="n">
        <x:v>46279.351018518515</x:v>
      </x:c>
      <x:c r="B168" s="3" t="str">
        <x:v>LTCUSDT</x:v>
      </x:c>
      <x:c r="C168" s="3" t="str">
        <x:v>SELL</x:v>
      </x:c>
      <x:c r="D168" s="3" t="str">
        <x:v>7421942164</x:v>
      </x:c>
      <x:c r="E168" s="9" t="n">
        <x:v>0.552</x:v>
      </x:c>
      <x:c r="F168" s="9" t="n">
        <x:v>54.06</x:v>
      </x:c>
      <x:c r="G168" s="9" t="n">
        <x:v>29.84112</x:v>
      </x:c>
      <x:c r="H168" s="9" t="n">
        <x:v>-0.14352</x:v>
      </x:c>
      <x:c r="I168" s="3"/>
      <x:c r="J168" s="3" t="str">
        <x:v>gross only; actual fees not recorded</x:v>
      </x:c>
      <x:c r="K168" s="3" t="str">
        <x:v>stop loss</x:v>
      </x:c>
      <x:c r="L168" s="3" t="str">
        <x:v>production</x:v>
      </x:c>
      <x:c r="M168" s="10" t="n">
        <x:v>786</x:v>
      </x:c>
      <x:c r="N168" s="3" t="str">
        <x:v>USDT</x:v>
      </x:c>
      <x:c r="O168" s="9"/>
      <x:c r="P168" s="3"/>
      <x:c r="Q168" s="3"/>
      <x:c r="R168" s="3"/>
      <x:c r="S168" s="3"/>
      <x:c r="T168" s="3"/>
      <x:c r="U168" s="3"/>
      <x:c r="V168" s="10" t="n">
        <x:v>1789363528</x:v>
      </x:c>
      <x:c r="W168" s="3" t="str">
        <x:v>{"side": "SELL", "symbol": "LTCUSDT", "order_id": 7421942164, "quantity": "0.55200000", "price": "54.06", "quote_amount": "29.84112000", "quote_asset": "USDT", "reason": "stop loss", "estimated_pnl_usdt": "-0.1435200000", "environment": "production", "recorded_at": 1789363528}</x:v>
      </x:c>
      <x:c r="X168" s="10" t="n">
        <x:v>0</x:v>
      </x:c>
      <x:c r="Y168" s="8" t="n">
        <x:v>46279.226018518515</x:v>
      </x:c>
      <x:c r="Z168" s="3" t="str">
        <x:v>2026-09-14</x:v>
      </x:c>
      <x:c r="AA168" s="3" t="str">
        <x:v>ACTIVE / MIXED</x:v>
      </x:c>
      <x:c r="AB168" s="8" t="n">
        <x:v>46279.34170138889</x:v>
      </x:c>
      <x:c r="AC168" s="10" t="n">
        <x:v>805</x:v>
      </x:c>
      <x:c r="AD168" s="3"/>
      <x:c r="AE168" s="3"/>
      <x:c r="AF168" s="9"/>
      <x:c r="AG168" s="3"/>
      <x:c r="AH168" s="9"/>
      <x:c r="AI168" s="9"/>
      <x:c r="AJ168" s="3"/>
      <x:c r="AK168" s="9"/>
      <x:c r="AL168" s="3"/>
      <x:c r="AM168" s="3"/>
    </x:row>
    <x:row r="169" ht="21" customHeight="1">
      <x:c r="A169" s="8" t="n">
        <x:v>46279.35103009259</x:v>
      </x:c>
      <x:c r="B169" s="3" t="str">
        <x:v>LINKUSDT</x:v>
      </x:c>
      <x:c r="C169" s="3" t="str">
        <x:v>BUY</x:v>
      </x:c>
      <x:c r="D169" s="3" t="str">
        <x:v>8010440753</x:v>
      </x:c>
      <x:c r="E169" s="9" t="n">
        <x:v>2.63</x:v>
      </x:c>
      <x:c r="F169" s="9" t="n">
        <x:v>11.372</x:v>
      </x:c>
      <x:c r="G169" s="9" t="n">
        <x:v>29.90836</x:v>
      </x:c>
      <x:c r="H169" s="9"/>
      <x:c r="I169" s="3"/>
      <x:c r="J169" s="3" t="str">
        <x:v>gross only; actual fees not recorded</x:v>
      </x:c>
      <x:c r="K169" s="3" t="str">
        <x:v>strategy buy signal</x:v>
      </x:c>
      <x:c r="L169" s="3" t="str">
        <x:v>production</x:v>
      </x:c>
      <x:c r="M169" s="10" t="n">
        <x:v>787</x:v>
      </x:c>
      <x:c r="N169" s="3" t="str">
        <x:v>USDT</x:v>
      </x:c>
      <x:c r="O169" s="9" t="n">
        <x:v>1789363499999</x:v>
      </x:c>
      <x:c r="P169" s="4" t="b">
        <x:v>0</x:v>
      </x:c>
      <x:c r="Q169" s="4" t="b">
        <x:v>1</x:v>
      </x:c>
      <x:c r="R169" s="4" t="b">
        <x:v>1</x:v>
      </x:c>
      <x:c r="S169" s="4" t="b">
        <x:v>1</x:v>
      </x:c>
      <x:c r="T169" s="4" t="b">
        <x:v>1</x:v>
      </x:c>
      <x:c r="U169" s="4" t="b">
        <x:v>1</x:v>
      </x:c>
      <x:c r="V169" s="10" t="n">
        <x:v>1789363529</x:v>
      </x:c>
      <x:c r="W169" s="3" t="str">
        <x:v>{"side": "BUY", "symbol": "LINKUSDT", "order_id": 8010440753, "quantity": "2.63000000", "price": "11.372", "quote_amount": "29.90836000", "quote_asset": "USDT", "signal_candle_close_time": 1789363499999, "reason": "strategy buy signal", "entry_conditions": {"rsi_recovered": false, "near_support": true, "trend_ok": true, "reward_ok": true, "stop_risk_ok": true, "momentum_ok": true}, "environment": "production", "recorded_at": 1789363529}</x:v>
      </x:c>
      <x:c r="X169" s="10" t="n">
        <x:v>0</x:v>
      </x:c>
      <x:c r="Y169" s="8" t="n">
        <x:v>46279.22603009259</x:v>
      </x:c>
      <x:c r="Z169" s="3" t="str">
        <x:v>2026-09-14</x:v>
      </x:c>
      <x:c r="AA169" s="3" t="str">
        <x:v>ACTIVE / MIXED</x:v>
      </x:c>
      <x:c r="AB169" s="8" t="n">
        <x:v>46279.34170138889</x:v>
      </x:c>
      <x:c r="AC169" s="10" t="n">
        <x:v>806</x:v>
      </x:c>
      <x:c r="AD169" s="3" t="str">
        <x:v>rsi_recovered</x:v>
      </x:c>
      <x:c r="AE169" s="3"/>
      <x:c r="AF169" s="9"/>
      <x:c r="AG169" s="3"/>
      <x:c r="AH169" s="9"/>
      <x:c r="AI169" s="9"/>
      <x:c r="AJ169" s="3"/>
      <x:c r="AK169" s="9"/>
      <x:c r="AL169" s="3"/>
      <x:c r="AM169" s="3"/>
    </x:row>
    <x:row r="170" ht="21" customHeight="1">
      <x:c r="A170" s="8" t="n">
        <x:v>46279.35104166667</x:v>
      </x:c>
      <x:c r="B170" s="3" t="str">
        <x:v>WLDUSDT</x:v>
      </x:c>
      <x:c r="C170" s="3" t="str">
        <x:v>SELL</x:v>
      </x:c>
      <x:c r="D170" s="3" t="str">
        <x:v>4152958363</x:v>
      </x:c>
      <x:c r="E170" s="9" t="n">
        <x:v>77.7</x:v>
      </x:c>
      <x:c r="F170" s="9" t="n">
        <x:v>0.3832</x:v>
      </x:c>
      <x:c r="G170" s="9" t="n">
        <x:v>29.77464</x:v>
      </x:c>
      <x:c r="H170" s="9" t="n">
        <x:v>-0.20202</x:v>
      </x:c>
      <x:c r="I170" s="3"/>
      <x:c r="J170" s="3" t="str">
        <x:v>gross only; actual fees not recorded</x:v>
      </x:c>
      <x:c r="K170" s="3" t="str">
        <x:v>stop loss</x:v>
      </x:c>
      <x:c r="L170" s="3" t="str">
        <x:v>production</x:v>
      </x:c>
      <x:c r="M170" s="10" t="n">
        <x:v>788</x:v>
      </x:c>
      <x:c r="N170" s="3" t="str">
        <x:v>USDT</x:v>
      </x:c>
      <x:c r="O170" s="9"/>
      <x:c r="P170" s="3"/>
      <x:c r="Q170" s="3"/>
      <x:c r="R170" s="3"/>
      <x:c r="S170" s="3"/>
      <x:c r="T170" s="3"/>
      <x:c r="U170" s="3"/>
      <x:c r="V170" s="10" t="n">
        <x:v>1789363530</x:v>
      </x:c>
      <x:c r="W170" s="3" t="str">
        <x:v>{"side": "SELL", "symbol": "WLDUSDT", "order_id": 4152958363, "quantity": "77.70000000", "price": "0.3832", "quote_amount": "29.77464000", "quote_asset": "USDT", "reason": "stop loss", "estimated_pnl_usdt": "-0.202020000000", "environment": "production", "recorded_at": 1789363530}</x:v>
      </x:c>
      <x:c r="X170" s="10" t="n">
        <x:v>0</x:v>
      </x:c>
      <x:c r="Y170" s="8" t="n">
        <x:v>46279.22604166667</x:v>
      </x:c>
      <x:c r="Z170" s="3" t="str">
        <x:v>2026-09-14</x:v>
      </x:c>
      <x:c r="AA170" s="3" t="str">
        <x:v>ACTIVE / MIXED</x:v>
      </x:c>
      <x:c r="AB170" s="8" t="n">
        <x:v>46279.34170138889</x:v>
      </x:c>
      <x:c r="AC170" s="10" t="n">
        <x:v>807</x:v>
      </x:c>
      <x:c r="AD170" s="3"/>
      <x:c r="AE170" s="3"/>
      <x:c r="AF170" s="9"/>
      <x:c r="AG170" s="3"/>
      <x:c r="AH170" s="9"/>
      <x:c r="AI170" s="9"/>
      <x:c r="AJ170" s="3"/>
      <x:c r="AK170" s="9"/>
      <x:c r="AL170" s="3"/>
      <x:c r="AM170" s="3"/>
    </x:row>
    <x:row r="171" ht="21" customHeight="1">
      <x:c r="A171" s="8" t="n">
        <x:v>46279.35105324074</x:v>
      </x:c>
      <x:c r="B171" s="3" t="str">
        <x:v>TRUMPUSDT</x:v>
      </x:c>
      <x:c r="C171" s="3" t="str">
        <x:v>BUY</x:v>
      </x:c>
      <x:c r="D171" s="3" t="str">
        <x:v>2082803160</x:v>
      </x:c>
      <x:c r="E171" s="9" t="n">
        <x:v>15.052</x:v>
      </x:c>
      <x:c r="F171" s="9" t="n">
        <x:v>1.993</x:v>
      </x:c>
      <x:c r="G171" s="9" t="n">
        <x:v>29.998636</x:v>
      </x:c>
      <x:c r="H171" s="9"/>
      <x:c r="I171" s="3"/>
      <x:c r="J171" s="3" t="str">
        <x:v>gross only; actual fees not recorded</x:v>
      </x:c>
      <x:c r="K171" s="3" t="str">
        <x:v>strategy buy signal</x:v>
      </x:c>
      <x:c r="L171" s="3" t="str">
        <x:v>production</x:v>
      </x:c>
      <x:c r="M171" s="10" t="n">
        <x:v>789</x:v>
      </x:c>
      <x:c r="N171" s="3" t="str">
        <x:v>USDT</x:v>
      </x:c>
      <x:c r="O171" s="9" t="n">
        <x:v>1789363499999</x:v>
      </x:c>
      <x:c r="P171" s="4" t="b">
        <x:v>0</x:v>
      </x:c>
      <x:c r="Q171" s="4" t="b">
        <x:v>1</x:v>
      </x:c>
      <x:c r="R171" s="4" t="b">
        <x:v>1</x:v>
      </x:c>
      <x:c r="S171" s="4" t="b">
        <x:v>1</x:v>
      </x:c>
      <x:c r="T171" s="4" t="b">
        <x:v>1</x:v>
      </x:c>
      <x:c r="U171" s="4" t="b">
        <x:v>1</x:v>
      </x:c>
      <x:c r="V171" s="10" t="n">
        <x:v>1789363531</x:v>
      </x:c>
      <x:c r="W171" s="3" t="str">
        <x:v>{"side": "BUY", "symbol": "TRUMPUSDT", "order_id": 2082803160, "quantity": "15.05200000", "price": "1.993", "quote_amount": "29.99863600", "quote_asset": "USDT", "signal_candle_close_time": 1789363499999, "reason": "strategy buy signal", "entry_conditions": {"rsi_recovered": false, "near_support": true, "trend_ok": true, "reward_ok": true, "stop_risk_ok": true, "momentum_ok": true}, "environment": "production", "recorded_at": 1789363531}</x:v>
      </x:c>
      <x:c r="X171" s="10" t="n">
        <x:v>0</x:v>
      </x:c>
      <x:c r="Y171" s="8" t="n">
        <x:v>46279.22605324074</x:v>
      </x:c>
      <x:c r="Z171" s="3" t="str">
        <x:v>2026-09-14</x:v>
      </x:c>
      <x:c r="AA171" s="3" t="str">
        <x:v>ACTIVE / MIXED</x:v>
      </x:c>
      <x:c r="AB171" s="8" t="n">
        <x:v>46279.34170138889</x:v>
      </x:c>
      <x:c r="AC171" s="10" t="n">
        <x:v>808</x:v>
      </x:c>
      <x:c r="AD171" s="3" t="str">
        <x:v>rsi_recovered</x:v>
      </x:c>
      <x:c r="AE171" s="3"/>
      <x:c r="AF171" s="9"/>
      <x:c r="AG171" s="3"/>
      <x:c r="AH171" s="9"/>
      <x:c r="AI171" s="9"/>
      <x:c r="AJ171" s="3"/>
      <x:c r="AK171" s="9"/>
      <x:c r="AL171" s="3"/>
      <x:c r="AM171" s="3"/>
    </x:row>
    <x:row r="172" ht="21" customHeight="1">
      <x:c r="A172" s="8" t="n">
        <x:v>46279.351064814815</x:v>
      </x:c>
      <x:c r="B172" s="3" t="str">
        <x:v>SNDKBUSDT</x:v>
      </x:c>
      <x:c r="C172" s="3" t="str">
        <x:v>SELL</x:v>
      </x:c>
      <x:c r="D172" s="3" t="str">
        <x:v>343400501</x:v>
      </x:c>
      <x:c r="E172" s="9" t="n">
        <x:v>0.0191</x:v>
      </x:c>
      <x:c r="F172" s="9" t="n">
        <x:v>1561.34</x:v>
      </x:c>
      <x:c r="G172" s="9" t="n">
        <x:v>29.821594</x:v>
      </x:c>
      <x:c r="H172" s="9" t="n">
        <x:v>-0.140385</x:v>
      </x:c>
      <x:c r="I172" s="3"/>
      <x:c r="J172" s="3" t="str">
        <x:v>gross only; actual fees not recorded</x:v>
      </x:c>
      <x:c r="K172" s="3" t="str">
        <x:v>stop loss</x:v>
      </x:c>
      <x:c r="L172" s="3" t="str">
        <x:v>production</x:v>
      </x:c>
      <x:c r="M172" s="10" t="n">
        <x:v>790</x:v>
      </x:c>
      <x:c r="N172" s="3" t="str">
        <x:v>USDT</x:v>
      </x:c>
      <x:c r="O172" s="9"/>
      <x:c r="P172" s="3"/>
      <x:c r="Q172" s="3"/>
      <x:c r="R172" s="3"/>
      <x:c r="S172" s="3"/>
      <x:c r="T172" s="3"/>
      <x:c r="U172" s="3"/>
      <x:c r="V172" s="10" t="n">
        <x:v>1789363532</x:v>
      </x:c>
      <x:c r="W172" s="3" t="str">
        <x:v>{"side": "SELL", "symbol": "SNDKBUSDT", "order_id": 343400501, "quantity": "0.01910000", "price": "1561.34", "quote_amount": "29.82159400", "quote_asset": "USDT", "reason": "stop loss", "estimated_pnl_usdt": "-0.1403850000", "environment": "production", "recorded_at": 1789363532}</x:v>
      </x:c>
      <x:c r="X172" s="10" t="n">
        <x:v>0</x:v>
      </x:c>
      <x:c r="Y172" s="8" t="n">
        <x:v>46279.226064814815</x:v>
      </x:c>
      <x:c r="Z172" s="3" t="str">
        <x:v>2026-09-14</x:v>
      </x:c>
      <x:c r="AA172" s="3" t="str">
        <x:v>ACTIVE / MIXED</x:v>
      </x:c>
      <x:c r="AB172" s="8" t="n">
        <x:v>46279.34170138889</x:v>
      </x:c>
      <x:c r="AC172" s="10" t="n">
        <x:v>809</x:v>
      </x:c>
      <x:c r="AD172" s="3"/>
      <x:c r="AE172" s="3"/>
      <x:c r="AF172" s="9"/>
      <x:c r="AG172" s="3"/>
      <x:c r="AH172" s="9"/>
      <x:c r="AI172" s="9"/>
      <x:c r="AJ172" s="3"/>
      <x:c r="AK172" s="9"/>
      <x:c r="AL172" s="3"/>
      <x:c r="AM172" s="3"/>
    </x:row>
    <x:row r="173" ht="21" customHeight="1">
      <x:c r="A173" s="8" t="n">
        <x:v>46279.351331018515</x:v>
      </x:c>
      <x:c r="B173" s="3" t="str">
        <x:v>PUMPUSDT</x:v>
      </x:c>
      <x:c r="C173" s="3" t="str">
        <x:v>BUY</x:v>
      </x:c>
      <x:c r="D173" s="3" t="str">
        <x:v>879704141</x:v>
      </x:c>
      <x:c r="E173" s="9" t="n">
        <x:v>8262</x:v>
      </x:c>
      <x:c r="F173" s="9" t="n">
        <x:v>0.003631</x:v>
      </x:c>
      <x:c r="G173" s="9" t="n">
        <x:v>29.999322</x:v>
      </x:c>
      <x:c r="H173" s="9"/>
      <x:c r="I173" s="3"/>
      <x:c r="J173" s="3" t="str">
        <x:v>gross only; actual fees not recorded</x:v>
      </x:c>
      <x:c r="K173" s="3" t="str">
        <x:v>strategy buy signal</x:v>
      </x:c>
      <x:c r="L173" s="3" t="str">
        <x:v>production</x:v>
      </x:c>
      <x:c r="M173" s="10" t="n">
        <x:v>791</x:v>
      </x:c>
      <x:c r="N173" s="3" t="str">
        <x:v>USDT</x:v>
      </x:c>
      <x:c r="O173" s="9" t="n">
        <x:v>1789363499999</x:v>
      </x:c>
      <x:c r="P173" s="4" t="b">
        <x:v>0</x:v>
      </x:c>
      <x:c r="Q173" s="4" t="b">
        <x:v>1</x:v>
      </x:c>
      <x:c r="R173" s="4" t="b">
        <x:v>1</x:v>
      </x:c>
      <x:c r="S173" s="4" t="b">
        <x:v>1</x:v>
      </x:c>
      <x:c r="T173" s="4" t="b">
        <x:v>1</x:v>
      </x:c>
      <x:c r="U173" s="4" t="b">
        <x:v>1</x:v>
      </x:c>
      <x:c r="V173" s="10" t="n">
        <x:v>1789363555</x:v>
      </x:c>
      <x:c r="W173" s="3" t="str">
        <x:v>{"side": "BUY", "symbol": "PUMPUSDT", "order_id": 879704141, "quantity": "8262.00", "price": "0.003631", "quote_amount": "29.99932200", "quote_asset": "USDT", "signal_candle_close_time": 1789363499999, "reason": "strategy buy signal", "entry_conditions": {"rsi_recovered": false, "near_support": true, "trend_ok": true, "reward_ok": true, "stop_risk_ok": true, "momentum_ok": true}, "environment": "production", "recorded_at": 1789363555}</x:v>
      </x:c>
      <x:c r="X173" s="10" t="n">
        <x:v>0</x:v>
      </x:c>
      <x:c r="Y173" s="8" t="n">
        <x:v>46279.226331018515</x:v>
      </x:c>
      <x:c r="Z173" s="3" t="str">
        <x:v>2026-09-14</x:v>
      </x:c>
      <x:c r="AA173" s="3" t="str">
        <x:v>ACTIVE / MIXED</x:v>
      </x:c>
      <x:c r="AB173" s="8" t="n">
        <x:v>46279.34170138889</x:v>
      </x:c>
      <x:c r="AC173" s="10" t="n">
        <x:v>832</x:v>
      </x:c>
      <x:c r="AD173" s="3" t="str">
        <x:v>rsi_recovered</x:v>
      </x:c>
      <x:c r="AE173" s="3"/>
      <x:c r="AF173" s="9"/>
      <x:c r="AG173" s="3"/>
      <x:c r="AH173" s="9"/>
      <x:c r="AI173" s="9"/>
      <x:c r="AJ173" s="3"/>
      <x:c r="AK173" s="9"/>
      <x:c r="AL173" s="3"/>
      <x:c r="AM173" s="3"/>
    </x:row>
    <x:row r="174" ht="21" customHeight="1">
      <x:c r="A174" s="8" t="n">
        <x:v>46279.368263888886</x:v>
      </x:c>
      <x:c r="B174" s="3" t="str">
        <x:v>TAOUSDT</x:v>
      </x:c>
      <x:c r="C174" s="3" t="str">
        <x:v>SELL</x:v>
      </x:c>
      <x:c r="D174" s="3" t="str">
        <x:v>2570286030</x:v>
      </x:c>
      <x:c r="E174" s="9" t="n">
        <x:v>0.1273</x:v>
      </x:c>
      <x:c r="F174" s="9" t="n">
        <x:v>234</x:v>
      </x:c>
      <x:c r="G174" s="9" t="n">
        <x:v>29.7882</x:v>
      </x:c>
      <x:c r="H174" s="9" t="n">
        <x:v>-0.20368</x:v>
      </x:c>
      <x:c r="I174" s="3"/>
      <x:c r="J174" s="3" t="str">
        <x:v>gross only; actual fees not recorded</x:v>
      </x:c>
      <x:c r="K174" s="3" t="str">
        <x:v>stop loss</x:v>
      </x:c>
      <x:c r="L174" s="3" t="str">
        <x:v>production</x:v>
      </x:c>
      <x:c r="M174" s="10" t="n">
        <x:v>792</x:v>
      </x:c>
      <x:c r="N174" s="3" t="str">
        <x:v>USDT</x:v>
      </x:c>
      <x:c r="O174" s="9"/>
      <x:c r="P174" s="3"/>
      <x:c r="Q174" s="3"/>
      <x:c r="R174" s="3"/>
      <x:c r="S174" s="3"/>
      <x:c r="T174" s="3"/>
      <x:c r="U174" s="3"/>
      <x:c r="V174" s="10" t="n">
        <x:v>1789365018</x:v>
      </x:c>
      <x:c r="W174" s="3" t="str">
        <x:v>{"side": "SELL", "symbol": "TAOUSDT", "order_id": 2570286030, "quantity": "0.12730000", "price": "234", "quote_amount": "29.78820000", "quote_asset": "USDT", "reason": "stop loss", "estimated_pnl_usdt": "-0.203680000", "environment": "production", "recorded_at": 1789365018}</x:v>
      </x:c>
      <x:c r="X174" s="10" t="n">
        <x:v>0</x:v>
      </x:c>
      <x:c r="Y174" s="8" t="n">
        <x:v>46279.243263888886</x:v>
      </x:c>
      <x:c r="Z174" s="3" t="str">
        <x:v>2026-09-14</x:v>
      </x:c>
      <x:c r="AA174" s="3" t="str">
        <x:v>ACTIVE / MIXED</x:v>
      </x:c>
      <x:c r="AB174" s="8" t="n">
        <x:v>46279.36293981481</x:v>
      </x:c>
      <x:c r="AC174" s="10" t="n">
        <x:v>460</x:v>
      </x:c>
      <x:c r="AD174" s="3"/>
      <x:c r="AE174" s="3"/>
      <x:c r="AF174" s="9"/>
      <x:c r="AG174" s="3"/>
      <x:c r="AH174" s="9"/>
      <x:c r="AI174" s="9"/>
      <x:c r="AJ174" s="3"/>
      <x:c r="AK174" s="9"/>
      <x:c r="AL174" s="3"/>
      <x:c r="AM174" s="3"/>
    </x:row>
    <x:row r="175" ht="21" customHeight="1">
      <x:c r="A175" s="8" t="n">
        <x:v>46279.36865740741</x:v>
      </x:c>
      <x:c r="B175" s="3" t="str">
        <x:v>DOGEUSDT</x:v>
      </x:c>
      <x:c r="C175" s="3" t="str">
        <x:v>BUY</x:v>
      </x:c>
      <x:c r="D175" s="3" t="str">
        <x:v>14928523987</x:v>
      </x:c>
      <x:c r="E175" s="9" t="n">
        <x:v>356</x:v>
      </x:c>
      <x:c r="F175" s="9" t="n">
        <x:v>0.0841</x:v>
      </x:c>
      <x:c r="G175" s="9" t="n">
        <x:v>29.9396</x:v>
      </x:c>
      <x:c r="H175" s="9"/>
      <x:c r="I175" s="3"/>
      <x:c r="J175" s="3" t="str">
        <x:v>gross only; actual fees not recorded</x:v>
      </x:c>
      <x:c r="K175" s="3" t="str">
        <x:v>strategy buy signal</x:v>
      </x:c>
      <x:c r="L175" s="3" t="str">
        <x:v>production</x:v>
      </x:c>
      <x:c r="M175" s="10" t="n">
        <x:v>793</x:v>
      </x:c>
      <x:c r="N175" s="3" t="str">
        <x:v>USDT</x:v>
      </x:c>
      <x:c r="O175" s="9" t="n">
        <x:v>1789364999999</x:v>
      </x:c>
      <x:c r="P175" s="4" t="b">
        <x:v>0</x:v>
      </x:c>
      <x:c r="Q175" s="4" t="b">
        <x:v>1</x:v>
      </x:c>
      <x:c r="R175" s="4" t="b">
        <x:v>1</x:v>
      </x:c>
      <x:c r="S175" s="4" t="b">
        <x:v>1</x:v>
      </x:c>
      <x:c r="T175" s="4" t="b">
        <x:v>1</x:v>
      </x:c>
      <x:c r="U175" s="4" t="b">
        <x:v>1</x:v>
      </x:c>
      <x:c r="V175" s="10" t="n">
        <x:v>1789365052</x:v>
      </x:c>
      <x:c r="W175" s="3" t="str">
        <x:v>{"side": "BUY", "symbol": "DOGEUSDT", "order_id": 14928523987, "quantity": "356.00000000", "price": "0.0841", "quote_amount": "29.93960000", "quote_asset": "USDT", "signal_candle_close_time": 1789364999999, "reason": "strategy buy signal", "entry_conditions": {"rsi_recovered": false, "near_support": true, "trend_ok": true, "reward_ok": true, "stop_risk_ok": true, "momentum_ok": true}, "environment": "production", "recorded_at": 1789365052}</x:v>
      </x:c>
      <x:c r="X175" s="10" t="n">
        <x:v>0</x:v>
      </x:c>
      <x:c r="Y175" s="8" t="n">
        <x:v>46279.24365740741</x:v>
      </x:c>
      <x:c r="Z175" s="3" t="str">
        <x:v>2026-09-14</x:v>
      </x:c>
      <x:c r="AA175" s="3" t="str">
        <x:v>ACTIVE / MIXED</x:v>
      </x:c>
      <x:c r="AB175" s="8" t="n">
        <x:v>46279.36293981481</x:v>
      </x:c>
      <x:c r="AC175" s="10" t="n">
        <x:v>494</x:v>
      </x:c>
      <x:c r="AD175" s="3" t="str">
        <x:v>rsi_recovered</x:v>
      </x:c>
      <x:c r="AE175" s="3"/>
      <x:c r="AF175" s="9"/>
      <x:c r="AG175" s="3"/>
      <x:c r="AH175" s="9"/>
      <x:c r="AI175" s="9"/>
      <x:c r="AJ175" s="3"/>
      <x:c r="AK175" s="9"/>
      <x:c r="AL175" s="3"/>
      <x:c r="AM175" s="3"/>
    </x:row>
    <x:row r="176" ht="21" customHeight="1">
      <x:c r="A176" s="8" t="n">
        <x:v>46279.374398148146</x:v>
      </x:c>
      <x:c r="B176" s="3" t="str">
        <x:v>LINKUSDT</x:v>
      </x:c>
      <x:c r="C176" s="3" t="str">
        <x:v>SELL</x:v>
      </x:c>
      <x:c r="D176" s="3" t="str">
        <x:v>8010464372</x:v>
      </x:c>
      <x:c r="E176" s="9" t="n">
        <x:v>2.63</x:v>
      </x:c>
      <x:c r="F176" s="9" t="n">
        <x:v>11.413</x:v>
      </x:c>
      <x:c r="G176" s="9" t="n">
        <x:v>30.01619</x:v>
      </x:c>
      <x:c r="H176" s="9" t="n">
        <x:v>0.10783</x:v>
      </x:c>
      <x:c r="I176" s="3"/>
      <x:c r="J176" s="3" t="str">
        <x:v>gross only; actual fees not recorded</x:v>
      </x:c>
      <x:c r="K176" s="3" t="str">
        <x:v>take profit</x:v>
      </x:c>
      <x:c r="L176" s="3" t="str">
        <x:v>production</x:v>
      </x:c>
      <x:c r="M176" s="10" t="n">
        <x:v>794</x:v>
      </x:c>
      <x:c r="N176" s="3" t="str">
        <x:v>USDT</x:v>
      </x:c>
      <x:c r="O176" s="9"/>
      <x:c r="P176" s="3"/>
      <x:c r="Q176" s="3"/>
      <x:c r="R176" s="3"/>
      <x:c r="S176" s="3"/>
      <x:c r="T176" s="3"/>
      <x:c r="U176" s="3"/>
      <x:c r="V176" s="10" t="n">
        <x:v>1789365548</x:v>
      </x:c>
      <x:c r="W176" s="3" t="str">
        <x:v>{"side": "SELL", "symbol": "LINKUSDT", "order_id": 8010464372, "quantity": "2.63000000", "price": "11.413", "quote_amount": "30.01619000", "quote_asset": "USDT", "reason": "take profit", "estimated_pnl_usdt": "0.10783000000", "environment": "production", "recorded_at": 1789365548}</x:v>
      </x:c>
      <x:c r="X176" s="10" t="n">
        <x:v>0</x:v>
      </x:c>
      <x:c r="Y176" s="8" t="n">
        <x:v>46279.249398148146</x:v>
      </x:c>
      <x:c r="Z176" s="3" t="str">
        <x:v>2026-09-14</x:v>
      </x:c>
      <x:c r="AA176" s="3" t="str">
        <x:v>ACTIVE / MIXED</x:v>
      </x:c>
      <x:c r="AB176" s="8" t="n">
        <x:v>46279.373761574076</x:v>
      </x:c>
      <x:c r="AC176" s="10" t="n">
        <x:v>55</x:v>
      </x:c>
      <x:c r="AD176" s="3"/>
      <x:c r="AE176" s="3"/>
      <x:c r="AF176" s="9"/>
      <x:c r="AG176" s="3"/>
      <x:c r="AH176" s="9"/>
      <x:c r="AI176" s="9"/>
      <x:c r="AJ176" s="3"/>
      <x:c r="AK176" s="9"/>
      <x:c r="AL176" s="3"/>
      <x:c r="AM176" s="3"/>
    </x:row>
    <x:row r="177" ht="21" customHeight="1">
      <x:c r="A177" s="8" t="n">
        <x:v>46279.375439814816</x:v>
      </x:c>
      <x:c r="B177" s="3" t="str">
        <x:v>SUIUSDT</x:v>
      </x:c>
      <x:c r="C177" s="3" t="str">
        <x:v>BUY</x:v>
      </x:c>
      <x:c r="D177" s="3" t="str">
        <x:v>8851535149</x:v>
      </x:c>
      <x:c r="E177" s="9" t="n">
        <x:v>41.7</x:v>
      </x:c>
      <x:c r="F177" s="9" t="n">
        <x:v>0.7179</x:v>
      </x:c>
      <x:c r="G177" s="9" t="n">
        <x:v>29.93643</x:v>
      </x:c>
      <x:c r="H177" s="9"/>
      <x:c r="I177" s="3"/>
      <x:c r="J177" s="3" t="str">
        <x:v>gross only; actual fees not recorded</x:v>
      </x:c>
      <x:c r="K177" s="3" t="str">
        <x:v>strategy buy signal</x:v>
      </x:c>
      <x:c r="L177" s="3" t="str">
        <x:v>production</x:v>
      </x:c>
      <x:c r="M177" s="10" t="n">
        <x:v>795</x:v>
      </x:c>
      <x:c r="N177" s="3" t="str">
        <x:v>USDT</x:v>
      </x:c>
      <x:c r="O177" s="9" t="n">
        <x:v>1789365599999</x:v>
      </x:c>
      <x:c r="P177" s="4" t="b">
        <x:v>0</x:v>
      </x:c>
      <x:c r="Q177" s="4" t="b">
        <x:v>1</x:v>
      </x:c>
      <x:c r="R177" s="4" t="b">
        <x:v>1</x:v>
      </x:c>
      <x:c r="S177" s="4" t="b">
        <x:v>1</x:v>
      </x:c>
      <x:c r="T177" s="4" t="b">
        <x:v>1</x:v>
      </x:c>
      <x:c r="U177" s="4" t="b">
        <x:v>1</x:v>
      </x:c>
      <x:c r="V177" s="10" t="n">
        <x:v>1789365638</x:v>
      </x:c>
      <x:c r="W177" s="3" t="str">
        <x:v>{"side": "BUY", "symbol": "SUIUSDT", "order_id": 8851535149, "quantity": "41.70000000", "price": "0.7179", "quote_amount": "29.93643000", "quote_asset": "USDT", "signal_candle_close_time": 1789365599999, "reason": "strategy buy signal", "entry_conditions": {"rsi_recovered": false, "near_support": true, "trend_ok": true, "reward_ok": true, "stop_risk_ok": true, "momentum_ok": true}, "environment": "production", "recorded_at": 1789365638}</x:v>
      </x:c>
      <x:c r="X177" s="10" t="n">
        <x:v>0</x:v>
      </x:c>
      <x:c r="Y177" s="8" t="n">
        <x:v>46279.250439814816</x:v>
      </x:c>
      <x:c r="Z177" s="3" t="str">
        <x:v>2026-09-14</x:v>
      </x:c>
      <x:c r="AA177" s="3" t="str">
        <x:v>ACTIVE / MIXED</x:v>
      </x:c>
      <x:c r="AB177" s="8" t="n">
        <x:v>46279.373761574076</x:v>
      </x:c>
      <x:c r="AC177" s="10" t="n">
        <x:v>145</x:v>
      </x:c>
      <x:c r="AD177" s="3" t="str">
        <x:v>rsi_recovered</x:v>
      </x:c>
      <x:c r="AE177" s="3"/>
      <x:c r="AF177" s="9"/>
      <x:c r="AG177" s="3"/>
      <x:c r="AH177" s="9"/>
      <x:c r="AI177" s="9"/>
      <x:c r="AJ177" s="3"/>
      <x:c r="AK177" s="9"/>
      <x:c r="AL177" s="3"/>
      <x:c r="AM177" s="3"/>
    </x:row>
    <x:row r="178" ht="21" customHeight="1">
      <x:c r="A178" s="8" t="n">
        <x:v>46279.37771990741</x:v>
      </x:c>
      <x:c r="B178" s="3" t="str">
        <x:v>TRUMPUSDT</x:v>
      </x:c>
      <x:c r="C178" s="3" t="str">
        <x:v>SELL</x:v>
      </x:c>
      <x:c r="D178" s="3" t="str">
        <x:v>2082816015</x:v>
      </x:c>
      <x:c r="E178" s="9" t="n">
        <x:v>15.036</x:v>
      </x:c>
      <x:c r="F178" s="9" t="n">
        <x:v>2.002</x:v>
      </x:c>
      <x:c r="G178" s="9" t="n">
        <x:v>30.102072</x:v>
      </x:c>
      <x:c r="H178" s="9" t="n">
        <x:v>0.135324</x:v>
      </x:c>
      <x:c r="I178" s="3"/>
      <x:c r="J178" s="3" t="str">
        <x:v>gross only; actual fees not recorded</x:v>
      </x:c>
      <x:c r="K178" s="3" t="str">
        <x:v>take profit</x:v>
      </x:c>
      <x:c r="L178" s="3" t="str">
        <x:v>production</x:v>
      </x:c>
      <x:c r="M178" s="10" t="n">
        <x:v>796</x:v>
      </x:c>
      <x:c r="N178" s="3" t="str">
        <x:v>USDT</x:v>
      </x:c>
      <x:c r="O178" s="9"/>
      <x:c r="P178" s="3"/>
      <x:c r="Q178" s="3"/>
      <x:c r="R178" s="3"/>
      <x:c r="S178" s="3"/>
      <x:c r="T178" s="3"/>
      <x:c r="U178" s="3"/>
      <x:c r="V178" s="10" t="n">
        <x:v>1789365835</x:v>
      </x:c>
      <x:c r="W178" s="3" t="str">
        <x:v>{"side": "SELL", "symbol": "TRUMPUSDT", "order_id": 2082816015, "quantity": "15.03600000", "price": "2.002", "quote_amount": "30.10207200", "quote_asset": "USDT", "reason": "take profit", "estimated_pnl_usdt": "0.13532400000", "environment": "production", "recorded_at": 1789365835}</x:v>
      </x:c>
      <x:c r="X178" s="10" t="n">
        <x:v>0</x:v>
      </x:c>
      <x:c r="Y178" s="8" t="n">
        <x:v>46279.25271990741</x:v>
      </x:c>
      <x:c r="Z178" s="3" t="str">
        <x:v>2026-09-14</x:v>
      </x:c>
      <x:c r="AA178" s="3" t="str">
        <x:v>ACTIVE / MIXED</x:v>
      </x:c>
      <x:c r="AB178" s="8" t="n">
        <x:v>46279.373761574076</x:v>
      </x:c>
      <x:c r="AC178" s="10" t="n">
        <x:v>342</x:v>
      </x:c>
      <x:c r="AD178" s="3"/>
      <x:c r="AE178" s="3"/>
      <x:c r="AF178" s="9"/>
      <x:c r="AG178" s="3"/>
      <x:c r="AH178" s="9"/>
      <x:c r="AI178" s="9"/>
      <x:c r="AJ178" s="3"/>
      <x:c r="AK178" s="9"/>
      <x:c r="AL178" s="3"/>
      <x:c r="AM178" s="3"/>
    </x:row>
    <x:row r="179" ht="21" customHeight="1">
      <x:c r="A179" s="8" t="n">
        <x:v>46279.377974537034</x:v>
      </x:c>
      <x:c r="B179" s="3" t="str">
        <x:v>SUIUSDT</x:v>
      </x:c>
      <x:c r="C179" s="3" t="str">
        <x:v>SELL</x:v>
      </x:c>
      <x:c r="D179" s="3" t="str">
        <x:v>8851551294</x:v>
      </x:c>
      <x:c r="E179" s="9" t="n">
        <x:v>41.7</x:v>
      </x:c>
      <x:c r="F179" s="9" t="n">
        <x:v>0.723</x:v>
      </x:c>
      <x:c r="G179" s="9" t="n">
        <x:v>30.1491</x:v>
      </x:c>
      <x:c r="H179" s="9" t="n">
        <x:v>0.21267</x:v>
      </x:c>
      <x:c r="I179" s="3"/>
      <x:c r="J179" s="3" t="str">
        <x:v>gross only; actual fees not recorded</x:v>
      </x:c>
      <x:c r="K179" s="3" t="str">
        <x:v>take profit</x:v>
      </x:c>
      <x:c r="L179" s="3" t="str">
        <x:v>production</x:v>
      </x:c>
      <x:c r="M179" s="10" t="n">
        <x:v>797</x:v>
      </x:c>
      <x:c r="N179" s="3" t="str">
        <x:v>USDT</x:v>
      </x:c>
      <x:c r="O179" s="9"/>
      <x:c r="P179" s="3"/>
      <x:c r="Q179" s="3"/>
      <x:c r="R179" s="3"/>
      <x:c r="S179" s="3"/>
      <x:c r="T179" s="3"/>
      <x:c r="U179" s="3"/>
      <x:c r="V179" s="10" t="n">
        <x:v>1789365857</x:v>
      </x:c>
      <x:c r="W179" s="3" t="str">
        <x:v>{"side": "SELL", "symbol": "SUIUSDT", "order_id": 8851551294, "quantity": "41.70000000", "price": "0.723", "quote_amount": "30.14910000", "quote_asset": "USDT", "reason": "take profit", "estimated_pnl_usdt": "0.212670000000", "environment": "production", "recorded_at": 1789365857}</x:v>
      </x:c>
      <x:c r="X179" s="10" t="n">
        <x:v>0</x:v>
      </x:c>
      <x:c r="Y179" s="8" t="n">
        <x:v>46279.252974537034</x:v>
      </x:c>
      <x:c r="Z179" s="3" t="str">
        <x:v>2026-09-14</x:v>
      </x:c>
      <x:c r="AA179" s="3" t="str">
        <x:v>ACTIVE / MIXED</x:v>
      </x:c>
      <x:c r="AB179" s="8" t="n">
        <x:v>46279.373761574076</x:v>
      </x:c>
      <x:c r="AC179" s="10" t="n">
        <x:v>364</x:v>
      </x:c>
      <x:c r="AD179" s="3"/>
      <x:c r="AE179" s="3"/>
      <x:c r="AF179" s="9"/>
      <x:c r="AG179" s="3"/>
      <x:c r="AH179" s="9"/>
      <x:c r="AI179" s="9"/>
      <x:c r="AJ179" s="3"/>
      <x:c r="AK179" s="9"/>
      <x:c r="AL179" s="3"/>
      <x:c r="AM179" s="3"/>
    </x:row>
    <x:row r="180" ht="21" customHeight="1">
      <x:c r="A180" s="8" t="n">
        <x:v>46279.37873842593</x:v>
      </x:c>
      <x:c r="B180" s="3" t="str">
        <x:v>ETHUSDT</x:v>
      </x:c>
      <x:c r="C180" s="3" t="str">
        <x:v>BUY</x:v>
      </x:c>
      <x:c r="D180" s="3" t="str">
        <x:v>49795572253</x:v>
      </x:c>
      <x:c r="E180" s="9" t="n">
        <x:v>0.0118</x:v>
      </x:c>
      <x:c r="F180" s="9" t="n">
        <x:v>2523.65</x:v>
      </x:c>
      <x:c r="G180" s="9" t="n">
        <x:v>29.77907</x:v>
      </x:c>
      <x:c r="H180" s="9"/>
      <x:c r="I180" s="3"/>
      <x:c r="J180" s="3" t="str">
        <x:v>gross only; actual fees not recorded</x:v>
      </x:c>
      <x:c r="K180" s="3" t="str">
        <x:v>strategy buy signal</x:v>
      </x:c>
      <x:c r="L180" s="3" t="str">
        <x:v>production</x:v>
      </x:c>
      <x:c r="M180" s="10" t="n">
        <x:v>798</x:v>
      </x:c>
      <x:c r="N180" s="3" t="str">
        <x:v>USDT</x:v>
      </x:c>
      <x:c r="O180" s="9" t="n">
        <x:v>1789365899999</x:v>
      </x:c>
      <x:c r="P180" s="4" t="b">
        <x:v>0</x:v>
      </x:c>
      <x:c r="Q180" s="4" t="b">
        <x:v>1</x:v>
      </x:c>
      <x:c r="R180" s="4" t="b">
        <x:v>1</x:v>
      </x:c>
      <x:c r="S180" s="4" t="b">
        <x:v>1</x:v>
      </x:c>
      <x:c r="T180" s="4" t="b">
        <x:v>1</x:v>
      </x:c>
      <x:c r="U180" s="4" t="b">
        <x:v>1</x:v>
      </x:c>
      <x:c r="V180" s="10" t="n">
        <x:v>1789365923</x:v>
      </x:c>
      <x:c r="W180" s="3" t="str">
        <x:v>{"side": "BUY", "symbol": "ETHUSDT", "order_id": 49795572253, "quantity": "0.01180000", "price": "2523.65", "quote_amount": "29.77907000", "quote_asset": "USDT", "signal_candle_close_time": 1789365899999, "reason": "strategy buy signal", "entry_conditions": {"rsi_recovered": false, "near_support": true, "trend_ok": true, "reward_ok": true, "stop_risk_ok": true, "momentum_ok": true}, "environment": "production", "recorded_at": 1789365923}</x:v>
      </x:c>
      <x:c r="X180" s="10" t="n">
        <x:v>0</x:v>
      </x:c>
      <x:c r="Y180" s="8" t="n">
        <x:v>46279.25373842593</x:v>
      </x:c>
      <x:c r="Z180" s="3" t="str">
        <x:v>2026-09-14</x:v>
      </x:c>
      <x:c r="AA180" s="3" t="str">
        <x:v>ACTIVE / MIXED</x:v>
      </x:c>
      <x:c r="AB180" s="8" t="n">
        <x:v>46279.373761574076</x:v>
      </x:c>
      <x:c r="AC180" s="10" t="n">
        <x:v>430</x:v>
      </x:c>
      <x:c r="AD180" s="3" t="str">
        <x:v>rsi_recovered</x:v>
      </x:c>
      <x:c r="AE180" s="3"/>
      <x:c r="AF180" s="9"/>
      <x:c r="AG180" s="3"/>
      <x:c r="AH180" s="9"/>
      <x:c r="AI180" s="9"/>
      <x:c r="AJ180" s="3"/>
      <x:c r="AK180" s="9"/>
      <x:c r="AL180" s="3"/>
      <x:c r="AM180" s="3"/>
    </x:row>
    <x:row r="181" ht="21" customHeight="1">
      <x:c r="A181" s="8" t="n">
        <x:v>46279.37875</x:v>
      </x:c>
      <x:c r="B181" s="3" t="str">
        <x:v>BCHUSDT</x:v>
      </x:c>
      <x:c r="C181" s="3" t="str">
        <x:v>BUY</x:v>
      </x:c>
      <x:c r="D181" s="3" t="str">
        <x:v>5500535307</x:v>
      </x:c>
      <x:c r="E181" s="9" t="n">
        <x:v>0.133</x:v>
      </x:c>
      <x:c r="F181" s="9" t="n">
        <x:v>224.6</x:v>
      </x:c>
      <x:c r="G181" s="9" t="n">
        <x:v>29.8718</x:v>
      </x:c>
      <x:c r="H181" s="9"/>
      <x:c r="I181" s="3"/>
      <x:c r="J181" s="3" t="str">
        <x:v>gross only; actual fees not recorded</x:v>
      </x:c>
      <x:c r="K181" s="3" t="str">
        <x:v>strategy buy signal</x:v>
      </x:c>
      <x:c r="L181" s="3" t="str">
        <x:v>production</x:v>
      </x:c>
      <x:c r="M181" s="10" t="n">
        <x:v>799</x:v>
      </x:c>
      <x:c r="N181" s="3" t="str">
        <x:v>USDT</x:v>
      </x:c>
      <x:c r="O181" s="9" t="n">
        <x:v>1789365899999</x:v>
      </x:c>
      <x:c r="P181" s="4" t="b">
        <x:v>1</x:v>
      </x:c>
      <x:c r="Q181" s="4" t="b">
        <x:v>0</x:v>
      </x:c>
      <x:c r="R181" s="4" t="b">
        <x:v>1</x:v>
      </x:c>
      <x:c r="S181" s="4" t="b">
        <x:v>1</x:v>
      </x:c>
      <x:c r="T181" s="4" t="b">
        <x:v>1</x:v>
      </x:c>
      <x:c r="U181" s="4" t="b">
        <x:v>1</x:v>
      </x:c>
      <x:c r="V181" s="10" t="n">
        <x:v>1789365924</x:v>
      </x:c>
      <x:c r="W181" s="3" t="str">
        <x:v>{"side": "BUY", "symbol": "BCHUSDT", "order_id": 5500535307, "quantity": "0.13300000", "price": "224.6", "quote_amount": "29.87180000", "quote_asset": "USDT", "signal_candle_close_time": 1789365899999, "reason": "strategy buy signal", "entry_conditions": {"rsi_recovered": true, "near_support": false, "trend_ok": true, "reward_ok": true, "stop_risk_ok": true, "momentum_ok": true}, "environment": "production", "recorded_at": 1789365924}</x:v>
      </x:c>
      <x:c r="X181" s="10" t="n">
        <x:v>0</x:v>
      </x:c>
      <x:c r="Y181" s="8" t="n">
        <x:v>46279.25375</x:v>
      </x:c>
      <x:c r="Z181" s="3" t="str">
        <x:v>2026-09-14</x:v>
      </x:c>
      <x:c r="AA181" s="3" t="str">
        <x:v>ACTIVE / MIXED</x:v>
      </x:c>
      <x:c r="AB181" s="8" t="n">
        <x:v>46279.373761574076</x:v>
      </x:c>
      <x:c r="AC181" s="10" t="n">
        <x:v>431</x:v>
      </x:c>
      <x:c r="AD181" s="3" t="str">
        <x:v>near_support</x:v>
      </x:c>
      <x:c r="AE181" s="3"/>
      <x:c r="AF181" s="9"/>
      <x:c r="AG181" s="3"/>
      <x:c r="AH181" s="9"/>
      <x:c r="AI181" s="9"/>
      <x:c r="AJ181" s="3"/>
      <x:c r="AK181" s="9"/>
      <x:c r="AL181" s="3"/>
      <x:c r="AM181" s="3"/>
    </x:row>
    <x:row r="182" ht="21" customHeight="1">
      <x:c r="A182" s="8" t="n">
        <x:v>46279.378958333335</x:v>
      </x:c>
      <x:c r="B182" s="3" t="str">
        <x:v>PUMPUSDT</x:v>
      </x:c>
      <x:c r="C182" s="3" t="str">
        <x:v>SELL</x:v>
      </x:c>
      <x:c r="D182" s="3" t="str">
        <x:v>879726480</x:v>
      </x:c>
      <x:c r="E182" s="9" t="n">
        <x:v>8253</x:v>
      </x:c>
      <x:c r="F182" s="9" t="n">
        <x:v>0.003654</x:v>
      </x:c>
      <x:c r="G182" s="9" t="n">
        <x:v>30.156462</x:v>
      </x:c>
      <x:c r="H182" s="9" t="n">
        <x:v>0.189819</x:v>
      </x:c>
      <x:c r="I182" s="3"/>
      <x:c r="J182" s="3" t="str">
        <x:v>gross only; actual fees not recorded</x:v>
      </x:c>
      <x:c r="K182" s="3" t="str">
        <x:v>take profit</x:v>
      </x:c>
      <x:c r="L182" s="3" t="str">
        <x:v>production</x:v>
      </x:c>
      <x:c r="M182" s="10" t="n">
        <x:v>800</x:v>
      </x:c>
      <x:c r="N182" s="3" t="str">
        <x:v>USDT</x:v>
      </x:c>
      <x:c r="O182" s="9"/>
      <x:c r="P182" s="3"/>
      <x:c r="Q182" s="3"/>
      <x:c r="R182" s="3"/>
      <x:c r="S182" s="3"/>
      <x:c r="T182" s="3"/>
      <x:c r="U182" s="3"/>
      <x:c r="V182" s="10" t="n">
        <x:v>1789365942</x:v>
      </x:c>
      <x:c r="W182" s="3" t="str">
        <x:v>{"side": "SELL", "symbol": "PUMPUSDT", "order_id": 879726480, "quantity": "8253.00", "price": "0.003654", "quote_amount": "30.15646200", "quote_asset": "USDT", "reason": "take profit", "estimated_pnl_usdt": "0.18981900", "environment": "production", "recorded_at": 1789365942}</x:v>
      </x:c>
      <x:c r="X182" s="10" t="n">
        <x:v>0</x:v>
      </x:c>
      <x:c r="Y182" s="8" t="n">
        <x:v>46279.253958333335</x:v>
      </x:c>
      <x:c r="Z182" s="3" t="str">
        <x:v>2026-09-14</x:v>
      </x:c>
      <x:c r="AA182" s="3" t="str">
        <x:v>ACTIVE / MIXED</x:v>
      </x:c>
      <x:c r="AB182" s="8" t="n">
        <x:v>46279.373761574076</x:v>
      </x:c>
      <x:c r="AC182" s="10" t="n">
        <x:v>449</x:v>
      </x:c>
      <x:c r="AD182" s="3"/>
      <x:c r="AE182" s="3"/>
      <x:c r="AF182" s="9"/>
      <x:c r="AG182" s="3"/>
      <x:c r="AH182" s="9"/>
      <x:c r="AI182" s="9"/>
      <x:c r="AJ182" s="3"/>
      <x:c r="AK182" s="9"/>
      <x:c r="AL182" s="3"/>
      <x:c r="AM182" s="3"/>
    </x:row>
    <x:row r="183" ht="21" customHeight="1">
      <x:c r="A183" s="8" t="n">
        <x:v>46279.37900462963</x:v>
      </x:c>
      <x:c r="B183" s="3" t="str">
        <x:v>ADAUSDT</x:v>
      </x:c>
      <x:c r="C183" s="3" t="str">
        <x:v>SELL</x:v>
      </x:c>
      <x:c r="D183" s="3" t="str">
        <x:v>8787005382</x:v>
      </x:c>
      <x:c r="E183" s="9" t="n">
        <x:v>144.6</x:v>
      </x:c>
      <x:c r="F183" s="9" t="n">
        <x:v>0.2084</x:v>
      </x:c>
      <x:c r="G183" s="9" t="n">
        <x:v>30.13464</x:v>
      </x:c>
      <x:c r="H183" s="9" t="n">
        <x:v>0.1446</x:v>
      </x:c>
      <x:c r="I183" s="3"/>
      <x:c r="J183" s="3" t="str">
        <x:v>gross only; actual fees not recorded</x:v>
      </x:c>
      <x:c r="K183" s="3" t="str">
        <x:v>take profit</x:v>
      </x:c>
      <x:c r="L183" s="3" t="str">
        <x:v>production</x:v>
      </x:c>
      <x:c r="M183" s="10" t="n">
        <x:v>801</x:v>
      </x:c>
      <x:c r="N183" s="3" t="str">
        <x:v>USDT</x:v>
      </x:c>
      <x:c r="O183" s="9"/>
      <x:c r="P183" s="3"/>
      <x:c r="Q183" s="3"/>
      <x:c r="R183" s="3"/>
      <x:c r="S183" s="3"/>
      <x:c r="T183" s="3"/>
      <x:c r="U183" s="3"/>
      <x:c r="V183" s="10" t="n">
        <x:v>1789365946</x:v>
      </x:c>
      <x:c r="W183" s="3" t="str">
        <x:v>{"side": "SELL", "symbol": "ADAUSDT", "order_id": 8787005382, "quantity": "144.60000000", "price": "0.2084", "quote_amount": "30.13464000", "quote_asset": "USDT", "reason": "take profit", "estimated_pnl_usdt": "0.144600000000", "environment": "production", "recorded_at": 1789365946}</x:v>
      </x:c>
      <x:c r="X183" s="10" t="n">
        <x:v>0</x:v>
      </x:c>
      <x:c r="Y183" s="8" t="n">
        <x:v>46279.25400462963</x:v>
      </x:c>
      <x:c r="Z183" s="3" t="str">
        <x:v>2026-09-14</x:v>
      </x:c>
      <x:c r="AA183" s="3" t="str">
        <x:v>ACTIVE / MIXED</x:v>
      </x:c>
      <x:c r="AB183" s="8" t="n">
        <x:v>46279.373761574076</x:v>
      </x:c>
      <x:c r="AC183" s="10" t="n">
        <x:v>453</x:v>
      </x:c>
      <x:c r="AD183" s="3"/>
      <x:c r="AE183" s="3"/>
      <x:c r="AF183" s="9"/>
      <x:c r="AG183" s="3"/>
      <x:c r="AH183" s="9"/>
      <x:c r="AI183" s="9"/>
      <x:c r="AJ183" s="3"/>
      <x:c r="AK183" s="9"/>
      <x:c r="AL183" s="3"/>
      <x:c r="AM183" s="3"/>
    </x:row>
    <x:row r="184" ht="21" customHeight="1">
      <x:c r="A184" s="8" t="n">
        <x:v>46279.38</x:v>
      </x:c>
      <x:c r="B184" s="3" t="str">
        <x:v>DOGEUSDT</x:v>
      </x:c>
      <x:c r="C184" s="3" t="str">
        <x:v>SELL</x:v>
      </x:c>
      <x:c r="D184" s="3" t="str">
        <x:v>14928555739</x:v>
      </x:c>
      <x:c r="E184" s="9" t="n">
        <x:v>356</x:v>
      </x:c>
      <x:c r="F184" s="9" t="n">
        <x:v>0.08448</x:v>
      </x:c>
      <x:c r="G184" s="9" t="n">
        <x:v>30.07488</x:v>
      </x:c>
      <x:c r="H184" s="9" t="n">
        <x:v>0.13528</x:v>
      </x:c>
      <x:c r="I184" s="3"/>
      <x:c r="J184" s="3" t="str">
        <x:v>gross only; actual fees not recorded</x:v>
      </x:c>
      <x:c r="K184" s="3" t="str">
        <x:v>take profit</x:v>
      </x:c>
      <x:c r="L184" s="3" t="str">
        <x:v>production</x:v>
      </x:c>
      <x:c r="M184" s="10" t="n">
        <x:v>802</x:v>
      </x:c>
      <x:c r="N184" s="3" t="str">
        <x:v>USDT</x:v>
      </x:c>
      <x:c r="O184" s="9"/>
      <x:c r="P184" s="3"/>
      <x:c r="Q184" s="3"/>
      <x:c r="R184" s="3"/>
      <x:c r="S184" s="3"/>
      <x:c r="T184" s="3"/>
      <x:c r="U184" s="3"/>
      <x:c r="V184" s="10" t="n">
        <x:v>1789366032</x:v>
      </x:c>
      <x:c r="W184" s="3" t="str">
        <x:v>{"side": "SELL", "symbol": "DOGEUSDT", "order_id": 14928555739, "quantity": "356.00000000", "price": "0.08448", "quote_amount": "30.07488000", "quote_asset": "USDT", "reason": "take profit", "estimated_pnl_usdt": "0.1352800000000", "environment": "production", "recorded_at": 1789366032}</x:v>
      </x:c>
      <x:c r="X184" s="10" t="n">
        <x:v>0</x:v>
      </x:c>
      <x:c r="Y184" s="8" t="n">
        <x:v>46279.255</x:v>
      </x:c>
      <x:c r="Z184" s="3" t="str">
        <x:v>2026-09-14</x:v>
      </x:c>
      <x:c r="AA184" s="3" t="str">
        <x:v>ACTIVE / MIXED</x:v>
      </x:c>
      <x:c r="AB184" s="8" t="n">
        <x:v>46279.373761574076</x:v>
      </x:c>
      <x:c r="AC184" s="10" t="n">
        <x:v>539</x:v>
      </x:c>
      <x:c r="AD184" s="3"/>
      <x:c r="AE184" s="3"/>
      <x:c r="AF184" s="9"/>
      <x:c r="AG184" s="3"/>
      <x:c r="AH184" s="9"/>
      <x:c r="AI184" s="9"/>
      <x:c r="AJ184" s="3"/>
      <x:c r="AK184" s="9"/>
      <x:c r="AL184" s="3"/>
      <x:c r="AM184" s="3"/>
    </x:row>
    <x:row r="185" ht="21" customHeight="1">
      <x:c r="A185" s="8" t="n">
        <x:v>46279.38008101852</x:v>
      </x:c>
      <x:c r="B185" s="3" t="str">
        <x:v>SOLUSDT</x:v>
      </x:c>
      <x:c r="C185" s="3" t="str">
        <x:v>SELL</x:v>
      </x:c>
      <x:c r="D185" s="3" t="str">
        <x:v>17796640583</x:v>
      </x:c>
      <x:c r="E185" s="9" t="n">
        <x:v>0.296</x:v>
      </x:c>
      <x:c r="F185" s="9" t="n">
        <x:v>101.59</x:v>
      </x:c>
      <x:c r="G185" s="9" t="n">
        <x:v>30.07064</x:v>
      </x:c>
      <x:c r="H185" s="9" t="n">
        <x:v>0.11544</x:v>
      </x:c>
      <x:c r="I185" s="3"/>
      <x:c r="J185" s="3" t="str">
        <x:v>gross only; actual fees not recorded</x:v>
      </x:c>
      <x:c r="K185" s="3" t="str">
        <x:v>take profit</x:v>
      </x:c>
      <x:c r="L185" s="3" t="str">
        <x:v>production</x:v>
      </x:c>
      <x:c r="M185" s="10" t="n">
        <x:v>803</x:v>
      </x:c>
      <x:c r="N185" s="3" t="str">
        <x:v>USDT</x:v>
      </x:c>
      <x:c r="O185" s="9"/>
      <x:c r="P185" s="3"/>
      <x:c r="Q185" s="3"/>
      <x:c r="R185" s="3"/>
      <x:c r="S185" s="3"/>
      <x:c r="T185" s="3"/>
      <x:c r="U185" s="3"/>
      <x:c r="V185" s="10" t="n">
        <x:v>1789366039</x:v>
      </x:c>
      <x:c r="W185" s="3" t="str">
        <x:v>{"side": "SELL", "symbol": "SOLUSDT", "order_id": 17796640583, "quantity": "0.29600000", "price": "101.59", "quote_amount": "30.07064000", "quote_asset": "USDT", "reason": "take profit", "estimated_pnl_usdt": "0.1154400000", "environment": "production", "recorded_at": 1789366039}</x:v>
      </x:c>
      <x:c r="X185" s="10" t="n">
        <x:v>0</x:v>
      </x:c>
      <x:c r="Y185" s="8" t="n">
        <x:v>46279.25508101852</x:v>
      </x:c>
      <x:c r="Z185" s="3" t="str">
        <x:v>2026-09-14</x:v>
      </x:c>
      <x:c r="AA185" s="3" t="str">
        <x:v>ACTIVE / MIXED</x:v>
      </x:c>
      <x:c r="AB185" s="8" t="n">
        <x:v>46279.373761574076</x:v>
      </x:c>
      <x:c r="AC185" s="10" t="n">
        <x:v>546</x:v>
      </x:c>
      <x:c r="AD185" s="3"/>
      <x:c r="AE185" s="3"/>
      <x:c r="AF185" s="9"/>
      <x:c r="AG185" s="3"/>
      <x:c r="AH185" s="9"/>
      <x:c r="AI185" s="9"/>
      <x:c r="AJ185" s="3"/>
      <x:c r="AK185" s="9"/>
      <x:c r="AL185" s="3"/>
      <x:c r="AM185" s="3"/>
    </x:row>
    <x:row r="186" ht="21" customHeight="1">
      <x:c r="A186" s="8" t="n">
        <x:v>46279.380277777775</x:v>
      </x:c>
      <x:c r="B186" s="3" t="str">
        <x:v>SOLUSDT</x:v>
      </x:c>
      <x:c r="C186" s="3" t="str">
        <x:v>BUY</x:v>
      </x:c>
      <x:c r="D186" s="3" t="str">
        <x:v>17796648536</x:v>
      </x:c>
      <x:c r="E186" s="9" t="n">
        <x:v>0.294</x:v>
      </x:c>
      <x:c r="F186" s="9" t="n">
        <x:v>101.88</x:v>
      </x:c>
      <x:c r="G186" s="9" t="n">
        <x:v>29.95272</x:v>
      </x:c>
      <x:c r="H186" s="9"/>
      <x:c r="I186" s="3"/>
      <x:c r="J186" s="3" t="str">
        <x:v>gross only; actual fees not recorded</x:v>
      </x:c>
      <x:c r="K186" s="3" t="str">
        <x:v>strategy buy signal</x:v>
      </x:c>
      <x:c r="L186" s="3" t="str">
        <x:v>production</x:v>
      </x:c>
      <x:c r="M186" s="10" t="n">
        <x:v>804</x:v>
      </x:c>
      <x:c r="N186" s="3" t="str">
        <x:v>USDT</x:v>
      </x:c>
      <x:c r="O186" s="9" t="n">
        <x:v>1789365899999</x:v>
      </x:c>
      <x:c r="P186" s="4" t="b">
        <x:v>0</x:v>
      </x:c>
      <x:c r="Q186" s="4" t="b">
        <x:v>1</x:v>
      </x:c>
      <x:c r="R186" s="4" t="b">
        <x:v>1</x:v>
      </x:c>
      <x:c r="S186" s="4" t="b">
        <x:v>1</x:v>
      </x:c>
      <x:c r="T186" s="4" t="b">
        <x:v>1</x:v>
      </x:c>
      <x:c r="U186" s="4" t="b">
        <x:v>1</x:v>
      </x:c>
      <x:c r="V186" s="10" t="n">
        <x:v>1789366056</x:v>
      </x:c>
      <x:c r="W186" s="3" t="str">
        <x:v>{"side": "BUY", "symbol": "SOLUSDT", "order_id": 17796648536, "quantity": "0.29400000", "price": "101.88", "quote_amount": "29.95272000", "quote_asset": "USDT", "signal_candle_close_time": 1789365899999, "reason": "strategy buy signal", "entry_conditions": {"rsi_recovered": false, "near_support": true, "trend_ok": true, "reward_ok": true, "stop_risk_ok": true, "momentum_ok": true}, "environment": "production", "recorded_at": 1789366056}</x:v>
      </x:c>
      <x:c r="X186" s="10" t="n">
        <x:v>0</x:v>
      </x:c>
      <x:c r="Y186" s="8" t="n">
        <x:v>46279.255277777775</x:v>
      </x:c>
      <x:c r="Z186" s="3" t="str">
        <x:v>2026-09-14</x:v>
      </x:c>
      <x:c r="AA186" s="3" t="str">
        <x:v>ACTIVE / MIXED</x:v>
      </x:c>
      <x:c r="AB186" s="8" t="n">
        <x:v>46279.373761574076</x:v>
      </x:c>
      <x:c r="AC186" s="10" t="n">
        <x:v>563</x:v>
      </x:c>
      <x:c r="AD186" s="3" t="str">
        <x:v>rsi_recovered</x:v>
      </x:c>
      <x:c r="AE186" s="3"/>
      <x:c r="AF186" s="9"/>
      <x:c r="AG186" s="3"/>
      <x:c r="AH186" s="9"/>
      <x:c r="AI186" s="9"/>
      <x:c r="AJ186" s="3"/>
      <x:c r="AK186" s="9"/>
      <x:c r="AL186" s="3"/>
      <x:c r="AM186" s="3"/>
    </x:row>
    <x:row r="187" ht="21" customHeight="1">
      <x:c r="A187" s="8" t="n">
        <x:v>46279.38068287037</x:v>
      </x:c>
      <x:c r="B187" s="3" t="str">
        <x:v>SOLUSDT</x:v>
      </x:c>
      <x:c r="C187" s="3" t="str">
        <x:v>SELL</x:v>
      </x:c>
      <x:c r="D187" s="3" t="str">
        <x:v>17796655886</x:v>
      </x:c>
      <x:c r="E187" s="9" t="n">
        <x:v>0.294</x:v>
      </x:c>
      <x:c r="F187" s="9" t="n">
        <x:v>101.96</x:v>
      </x:c>
      <x:c r="G187" s="9" t="n">
        <x:v>29.97624</x:v>
      </x:c>
      <x:c r="H187" s="9" t="n">
        <x:v>0.02352</x:v>
      </x:c>
      <x:c r="I187" s="3"/>
      <x:c r="J187" s="3" t="str">
        <x:v>gross only; actual fees not recorded</x:v>
      </x:c>
      <x:c r="K187" s="3" t="str">
        <x:v>stop loss</x:v>
      </x:c>
      <x:c r="L187" s="3" t="str">
        <x:v>production</x:v>
      </x:c>
      <x:c r="M187" s="10" t="n">
        <x:v>805</x:v>
      </x:c>
      <x:c r="N187" s="3" t="str">
        <x:v>USDT</x:v>
      </x:c>
      <x:c r="O187" s="9"/>
      <x:c r="P187" s="3"/>
      <x:c r="Q187" s="3"/>
      <x:c r="R187" s="3"/>
      <x:c r="S187" s="3"/>
      <x:c r="T187" s="3"/>
      <x:c r="U187" s="3"/>
      <x:c r="V187" s="10" t="n">
        <x:v>1789366091</x:v>
      </x:c>
      <x:c r="W187" s="3" t="str">
        <x:v>{"side": "SELL", "symbol": "SOLUSDT", "order_id": 17796655886, "quantity": "0.29400000", "price": "101.96", "quote_amount": "29.97624000", "quote_asset": "USDT", "reason": "stop loss", "estimated_pnl_usdt": "0.0235200000", "environment": "production", "recorded_at": 1789366091}</x:v>
      </x:c>
      <x:c r="X187" s="10" t="n">
        <x:v>0</x:v>
      </x:c>
      <x:c r="Y187" s="8" t="n">
        <x:v>46279.25568287037</x:v>
      </x:c>
      <x:c r="Z187" s="3" t="str">
        <x:v>2026-09-14</x:v>
      </x:c>
      <x:c r="AA187" s="3" t="str">
        <x:v>ACTIVE / MIXED</x:v>
      </x:c>
      <x:c r="AB187" s="8" t="n">
        <x:v>46279.373761574076</x:v>
      </x:c>
      <x:c r="AC187" s="10" t="n">
        <x:v>598</x:v>
      </x:c>
      <x:c r="AD187" s="3"/>
      <x:c r="AE187" s="3"/>
      <x:c r="AF187" s="9"/>
      <x:c r="AG187" s="3"/>
      <x:c r="AH187" s="9"/>
      <x:c r="AI187" s="9"/>
      <x:c r="AJ187" s="3"/>
      <x:c r="AK187" s="9"/>
      <x:c r="AL187" s="3"/>
      <x:c r="AM187" s="3"/>
    </x:row>
    <x:row r="188" ht="21" customHeight="1">
      <x:c r="A188" s="8" t="n">
        <x:v>46279.72457175926</x:v>
      </x:c>
      <x:c r="B188" s="3" t="str">
        <x:v>ETHUSDT</x:v>
      </x:c>
      <x:c r="C188" s="3" t="str">
        <x:v>SELL</x:v>
      </x:c>
      <x:c r="D188" s="3" t="str">
        <x:v>49804237087</x:v>
      </x:c>
      <x:c r="E188" s="9" t="n">
        <x:v>0.0117</x:v>
      </x:c>
      <x:c r="F188" s="9" t="n">
        <x:v>2503.97</x:v>
      </x:c>
      <x:c r="G188" s="9" t="n">
        <x:v>29.296449</x:v>
      </x:c>
      <x:c r="H188" s="9" t="n">
        <x:v>-0.230256</x:v>
      </x:c>
      <x:c r="I188" s="3"/>
      <x:c r="J188" s="3" t="str">
        <x:v>gross only; actual fees not recorded</x:v>
      </x:c>
      <x:c r="K188" s="3" t="str">
        <x:v>stop loss</x:v>
      </x:c>
      <x:c r="L188" s="3" t="str">
        <x:v>production</x:v>
      </x:c>
      <x:c r="M188" s="10" t="n">
        <x:v>806</x:v>
      </x:c>
      <x:c r="N188" s="3" t="str">
        <x:v>USDT</x:v>
      </x:c>
      <x:c r="O188" s="9"/>
      <x:c r="P188" s="3"/>
      <x:c r="Q188" s="3"/>
      <x:c r="R188" s="3"/>
      <x:c r="S188" s="3"/>
      <x:c r="T188" s="3"/>
      <x:c r="U188" s="3"/>
      <x:c r="V188" s="10" t="n">
        <x:v>1789395803</x:v>
      </x:c>
      <x:c r="W188" s="3" t="str">
        <x:v>{"side": "SELL", "symbol": "ETHUSDT", "order_id": 49804237087, "quantity": "0.01170000", "price": "2503.97", "quote_amount": "29.29644900", "quote_asset": "USDT", "reason": "stop loss", "estimated_pnl_usdt": "-0.2302560000", "environment": "production", "recorded_at": 1789395803}</x:v>
      </x:c>
      <x:c r="X188" s="10" t="n">
        <x:v>0</x:v>
      </x:c>
      <x:c r="Y188" s="8" t="n">
        <x:v>46279.59957175926</x:v>
      </x:c>
      <x:c r="Z188" s="3" t="str">
        <x:v>2026-09-14</x:v>
      </x:c>
      <x:c r="AA188" s="3" t="str">
        <x:v>ACTIVE / MIXED</x:v>
      </x:c>
      <x:c r="AB188" s="8" t="n">
        <x:v>46279.72280092593</x:v>
      </x:c>
      <x:c r="AC188" s="10" t="n">
        <x:v>153</x:v>
      </x:c>
      <x:c r="AD188" s="3"/>
      <x:c r="AE188" s="3"/>
      <x:c r="AF188" s="9"/>
      <x:c r="AG188" s="3"/>
      <x:c r="AH188" s="9"/>
      <x:c r="AI188" s="9"/>
      <x:c r="AJ188" s="3"/>
      <x:c r="AK188" s="9"/>
      <x:c r="AL188" s="3"/>
      <x:c r="AM188" s="3"/>
    </x:row>
    <x:row r="189" ht="21" customHeight="1">
      <x:c r="A189" s="8" t="n">
        <x:v>46279.72578703704</x:v>
      </x:c>
      <x:c r="B189" s="3" t="str">
        <x:v>BCHUSDT</x:v>
      </x:c>
      <x:c r="C189" s="3" t="str">
        <x:v>SELL</x:v>
      </x:c>
      <x:c r="D189" s="3" t="str">
        <x:v>5500822175</x:v>
      </x:c>
      <x:c r="E189" s="9" t="n">
        <x:v>0.133</x:v>
      </x:c>
      <x:c r="F189" s="9" t="n">
        <x:v>222.8</x:v>
      </x:c>
      <x:c r="G189" s="9" t="n">
        <x:v>29.6324</x:v>
      </x:c>
      <x:c r="H189" s="9" t="n">
        <x:v>-0.2394</x:v>
      </x:c>
      <x:c r="I189" s="3"/>
      <x:c r="J189" s="3" t="str">
        <x:v>gross only; actual fees not recorded</x:v>
      </x:c>
      <x:c r="K189" s="3" t="str">
        <x:v>stop loss</x:v>
      </x:c>
      <x:c r="L189" s="3" t="str">
        <x:v>production</x:v>
      </x:c>
      <x:c r="M189" s="10" t="n">
        <x:v>807</x:v>
      </x:c>
      <x:c r="N189" s="3" t="str">
        <x:v>USDT</x:v>
      </x:c>
      <x:c r="O189" s="9"/>
      <x:c r="P189" s="3"/>
      <x:c r="Q189" s="3"/>
      <x:c r="R189" s="3"/>
      <x:c r="S189" s="3"/>
      <x:c r="T189" s="3"/>
      <x:c r="U189" s="3"/>
      <x:c r="V189" s="10" t="n">
        <x:v>1789395908</x:v>
      </x:c>
      <x:c r="W189" s="3" t="str">
        <x:v>{"side": "SELL", "symbol": "BCHUSDT", "order_id": 5500822175, "quantity": "0.13300000", "price": "222.8", "quote_amount": "29.63240000", "quote_asset": "USDT", "reason": "stop loss", "estimated_pnl_usdt": "-0.239400000", "environment": "production", "recorded_at": 1789395908}</x:v>
      </x:c>
      <x:c r="X189" s="10" t="n">
        <x:v>0</x:v>
      </x:c>
      <x:c r="Y189" s="8" t="n">
        <x:v>46279.60078703704</x:v>
      </x:c>
      <x:c r="Z189" s="3" t="str">
        <x:v>2026-09-14</x:v>
      </x:c>
      <x:c r="AA189" s="3" t="str">
        <x:v>ACTIVE / MIXED</x:v>
      </x:c>
      <x:c r="AB189" s="8" t="n">
        <x:v>46279.72482638889</x:v>
      </x:c>
      <x:c r="AC189" s="10" t="n">
        <x:v>83</x:v>
      </x:c>
      <x:c r="AD189" s="3"/>
      <x:c r="AE189" s="3"/>
      <x:c r="AF189" s="9"/>
      <x:c r="AG189" s="3"/>
      <x:c r="AH189" s="9"/>
      <x:c r="AI189" s="9"/>
      <x:c r="AJ189" s="3"/>
      <x:c r="AK189" s="9"/>
      <x:c r="AL189" s="3"/>
      <x:c r="AM189" s="3"/>
    </x:row>
    <x:row r="190" ht="21" customHeight="1">
      <x:c r="A190" s="8" t="n">
        <x:v>46279.771261574075</x:v>
      </x:c>
      <x:c r="B190" s="3" t="str">
        <x:v>XRPUSDT</x:v>
      </x:c>
      <x:c r="C190" s="3" t="str">
        <x:v>BUY</x:v>
      </x:c>
      <x:c r="D190" s="3" t="str">
        <x:v>15436904021</x:v>
      </x:c>
      <x:c r="E190" s="9" t="n">
        <x:v>21.4</x:v>
      </x:c>
      <x:c r="F190" s="9" t="n">
        <x:v>1.4005</x:v>
      </x:c>
      <x:c r="G190" s="9" t="n">
        <x:v>29.9707</x:v>
      </x:c>
      <x:c r="H190" s="9"/>
      <x:c r="I190" s="3"/>
      <x:c r="J190" s="3" t="str">
        <x:v>gross only; actual fees not recorded</x:v>
      </x:c>
      <x:c r="K190" s="3" t="str">
        <x:v>strategy buy signal</x:v>
      </x:c>
      <x:c r="L190" s="3" t="str">
        <x:v>production</x:v>
      </x:c>
      <x:c r="M190" s="10" t="n">
        <x:v>808</x:v>
      </x:c>
      <x:c r="N190" s="3" t="str">
        <x:v>USDT</x:v>
      </x:c>
      <x:c r="O190" s="9" t="n">
        <x:v>1789399799999</x:v>
      </x:c>
      <x:c r="P190" s="4" t="b">
        <x:v>0</x:v>
      </x:c>
      <x:c r="Q190" s="4" t="b">
        <x:v>1</x:v>
      </x:c>
      <x:c r="R190" s="4" t="b">
        <x:v>1</x:v>
      </x:c>
      <x:c r="S190" s="4" t="b">
        <x:v>1</x:v>
      </x:c>
      <x:c r="T190" s="4" t="b">
        <x:v>1</x:v>
      </x:c>
      <x:c r="U190" s="4" t="b">
        <x:v>1</x:v>
      </x:c>
      <x:c r="V190" s="10" t="n">
        <x:v>1789399837</x:v>
      </x:c>
      <x:c r="W190" s="3" t="str">
        <x:v>{"side": "BUY", "symbol": "XRPUSDT", "order_id": 15436904021, "quantity": "21.40000000", "price": "1.4005", "quote_amount": "29.97070000", "quote_asset": "USDT", "signal_candle_close_time": 1789399799999, "reason": "strategy buy signal", "entry_conditions": {"rsi_recovered": false, "near_support": true, "trend_ok": true, "reward_ok": true, "stop_risk_ok": true, "momentum_ok": true}, "environment": "production", "recorded_at": 1789399837}</x:v>
      </x:c>
      <x:c r="X190" s="10" t="n">
        <x:v>0</x:v>
      </x:c>
      <x:c r="Y190" s="8" t="n">
        <x:v>46279.646261574075</x:v>
      </x:c>
      <x:c r="Z190" s="3" t="str">
        <x:v>2026-09-14</x:v>
      </x:c>
      <x:c r="AA190" s="3" t="str">
        <x:v>ACTIVE / MIXED</x:v>
      </x:c>
      <x:c r="AB190" s="8" t="n">
        <x:v>46279.76715277778</x:v>
      </x:c>
      <x:c r="AC190" s="10" t="n">
        <x:v>355</x:v>
      </x:c>
      <x:c r="AD190" s="3" t="str">
        <x:v>rsi_recovered</x:v>
      </x:c>
      <x:c r="AE190" s="3"/>
      <x:c r="AF190" s="9"/>
      <x:c r="AG190" s="3"/>
      <x:c r="AH190" s="9"/>
      <x:c r="AI190" s="9"/>
      <x:c r="AJ190" s="3"/>
      <x:c r="AK190" s="9"/>
      <x:c r="AL190" s="3"/>
      <x:c r="AM190" s="3"/>
    </x:row>
    <x:row r="191" ht="21" customHeight="1">
      <x:c r="A191" s="8" t="n">
        <x:v>46279.795486111114</x:v>
      </x:c>
      <x:c r="B191" s="3" t="str">
        <x:v>DOGEUSDT</x:v>
      </x:c>
      <x:c r="C191" s="3" t="str">
        <x:v>BUY</x:v>
      </x:c>
      <x:c r="D191" s="3" t="str">
        <x:v>14930275039</x:v>
      </x:c>
      <x:c r="E191" s="9" t="n">
        <x:v>357</x:v>
      </x:c>
      <x:c r="F191" s="9" t="n">
        <x:v>0.08394</x:v>
      </x:c>
      <x:c r="G191" s="9" t="n">
        <x:v>29.96658</x:v>
      </x:c>
      <x:c r="H191" s="9"/>
      <x:c r="I191" s="3"/>
      <x:c r="J191" s="3" t="str">
        <x:v>gross only; actual fees not recorded</x:v>
      </x:c>
      <x:c r="K191" s="3" t="str">
        <x:v>strategy buy signal</x:v>
      </x:c>
      <x:c r="L191" s="3" t="str">
        <x:v>production</x:v>
      </x:c>
      <x:c r="M191" s="10" t="n">
        <x:v>809</x:v>
      </x:c>
      <x:c r="N191" s="3" t="str">
        <x:v>USDT</x:v>
      </x:c>
      <x:c r="O191" s="9" t="n">
        <x:v>1789401899999</x:v>
      </x:c>
      <x:c r="P191" s="4" t="b">
        <x:v>0</x:v>
      </x:c>
      <x:c r="Q191" s="4" t="b">
        <x:v>1</x:v>
      </x:c>
      <x:c r="R191" s="4" t="b">
        <x:v>1</x:v>
      </x:c>
      <x:c r="S191" s="4" t="b">
        <x:v>1</x:v>
      </x:c>
      <x:c r="T191" s="4" t="b">
        <x:v>1</x:v>
      </x:c>
      <x:c r="U191" s="4" t="b">
        <x:v>1</x:v>
      </x:c>
      <x:c r="V191" s="10" t="n">
        <x:v>1789401930</x:v>
      </x:c>
      <x:c r="W191" s="3" t="str">
        <x:v>{"side": "BUY", "symbol": "DOGEUSDT", "order_id": 14930275039, "quantity": "357.00000000", "price": "0.08394", "quote_amount": "29.96658000", "quote_asset": "USDT", "signal_candle_close_time": 1789401899999, "reason": "strategy buy signal", "entry_conditions": {"rsi_recovered": false, "near_support": true, "trend_ok": true, "reward_ok": true, "stop_risk_ok": true, "momentum_ok": true}, "environment": "production", "recorded_at": 1789401930}</x:v>
      </x:c>
      <x:c r="X191" s="10" t="n">
        <x:v>0</x:v>
      </x:c>
      <x:c r="Y191" s="8" t="n">
        <x:v>46279.670486111114</x:v>
      </x:c>
      <x:c r="Z191" s="3" t="str">
        <x:v>2026-09-14</x:v>
      </x:c>
      <x:c r="AA191" s="3" t="str">
        <x:v>ACTIVE / MIXED</x:v>
      </x:c>
      <x:c r="AB191" s="8" t="n">
        <x:v>46279.78810185185</x:v>
      </x:c>
      <x:c r="AC191" s="10" t="n">
        <x:v>638</x:v>
      </x:c>
      <x:c r="AD191" s="3" t="str">
        <x:v>rsi_recovered</x:v>
      </x:c>
      <x:c r="AE191" s="3"/>
      <x:c r="AF191" s="9"/>
      <x:c r="AG191" s="3"/>
      <x:c r="AH191" s="9"/>
      <x:c r="AI191" s="9"/>
      <x:c r="AJ191" s="3"/>
      <x:c r="AK191" s="9"/>
      <x:c r="AL191" s="3"/>
      <x:c r="AM191" s="3"/>
    </x:row>
    <x:row r="192" ht="21" customHeight="1">
      <x:c r="A192" s="8" t="n">
        <x:v>46279.80415509259</x:v>
      </x:c>
      <x:c r="B192" s="3" t="str">
        <x:v>XRPUSDT</x:v>
      </x:c>
      <x:c r="C192" s="3" t="str">
        <x:v>SELL</x:v>
      </x:c>
      <x:c r="D192" s="3" t="str">
        <x:v>15437217919</x:v>
      </x:c>
      <x:c r="E192" s="9" t="n">
        <x:v>21.4</x:v>
      </x:c>
      <x:c r="F192" s="9" t="n">
        <x:v>1.4115</x:v>
      </x:c>
      <x:c r="G192" s="9" t="n">
        <x:v>30.2061</x:v>
      </x:c>
      <x:c r="H192" s="9" t="n">
        <x:v>0.2354</x:v>
      </x:c>
      <x:c r="I192" s="3"/>
      <x:c r="J192" s="3" t="str">
        <x:v>gross only; actual fees not recorded</x:v>
      </x:c>
      <x:c r="K192" s="3" t="str">
        <x:v>take profit</x:v>
      </x:c>
      <x:c r="L192" s="3" t="str">
        <x:v>production</x:v>
      </x:c>
      <x:c r="M192" s="10" t="n">
        <x:v>810</x:v>
      </x:c>
      <x:c r="N192" s="3" t="str">
        <x:v>USDT</x:v>
      </x:c>
      <x:c r="O192" s="9"/>
      <x:c r="P192" s="3"/>
      <x:c r="Q192" s="3"/>
      <x:c r="R192" s="3"/>
      <x:c r="S192" s="3"/>
      <x:c r="T192" s="3"/>
      <x:c r="U192" s="3"/>
      <x:c r="V192" s="10" t="n">
        <x:v>1789402679</x:v>
      </x:c>
      <x:c r="W192" s="3" t="str">
        <x:v>{"side": "SELL", "symbol": "XRPUSDT", "order_id": 15437217919, "quantity": "21.40000000", "price": "1.4115", "quote_amount": "30.20610000", "quote_asset": "USDT", "reason": "take profit", "estimated_pnl_usdt": "0.235400000000", "environment": "production", "recorded_at": 1789402679}</x:v>
      </x:c>
      <x:c r="X192" s="10" t="n">
        <x:v>0</x:v>
      </x:c>
      <x:c r="Y192" s="8" t="n">
        <x:v>46279.67915509259</x:v>
      </x:c>
      <x:c r="Z192" s="3" t="str">
        <x:v>2026-09-14</x:v>
      </x:c>
      <x:c r="AA192" s="3" t="str">
        <x:v>ACTIVE / MIXED</x:v>
      </x:c>
      <x:c r="AB192" s="8" t="n">
        <x:v>46279.79864583333</x:v>
      </x:c>
      <x:c r="AC192" s="10" t="n">
        <x:v>476</x:v>
      </x:c>
      <x:c r="AD192" s="3"/>
      <x:c r="AE192" s="3"/>
      <x:c r="AF192" s="9"/>
      <x:c r="AG192" s="3"/>
      <x:c r="AH192" s="9"/>
      <x:c r="AI192" s="9"/>
      <x:c r="AJ192" s="3"/>
      <x:c r="AK192" s="9"/>
      <x:c r="AL192" s="3"/>
      <x:c r="AM192" s="3"/>
    </x:row>
    <x:row r="193" ht="21" customHeight="1">
      <x:c r="A193" s="8" t="n">
        <x:v>46279.804606481484</x:v>
      </x:c>
      <x:c r="B193" s="3" t="str">
        <x:v>DOGEUSDT</x:v>
      </x:c>
      <x:c r="C193" s="3" t="str">
        <x:v>SELL</x:v>
      </x:c>
      <x:c r="D193" s="3" t="str">
        <x:v>14930312581</x:v>
      </x:c>
      <x:c r="E193" s="9" t="n">
        <x:v>357</x:v>
      </x:c>
      <x:c r="F193" s="9" t="n">
        <x:v>0.08446</x:v>
      </x:c>
      <x:c r="G193" s="9" t="n">
        <x:v>30.15222</x:v>
      </x:c>
      <x:c r="H193" s="9" t="n">
        <x:v>0.18564</x:v>
      </x:c>
      <x:c r="I193" s="3"/>
      <x:c r="J193" s="3" t="str">
        <x:v>gross only; actual fees not recorded</x:v>
      </x:c>
      <x:c r="K193" s="3" t="str">
        <x:v>take profit</x:v>
      </x:c>
      <x:c r="L193" s="3" t="str">
        <x:v>production</x:v>
      </x:c>
      <x:c r="M193" s="10" t="n">
        <x:v>811</x:v>
      </x:c>
      <x:c r="N193" s="3" t="str">
        <x:v>USDT</x:v>
      </x:c>
      <x:c r="O193" s="9"/>
      <x:c r="P193" s="3"/>
      <x:c r="Q193" s="3"/>
      <x:c r="R193" s="3"/>
      <x:c r="S193" s="3"/>
      <x:c r="T193" s="3"/>
      <x:c r="U193" s="3"/>
      <x:c r="V193" s="10" t="n">
        <x:v>1789402718</x:v>
      </x:c>
      <x:c r="W193" s="3" t="str">
        <x:v>{"side": "SELL", "symbol": "DOGEUSDT", "order_id": 14930312581, "quantity": "357.00000000", "price": "0.08446", "quote_amount": "30.15222000", "quote_asset": "USDT", "reason": "take profit", "estimated_pnl_usdt": "0.1856400000000", "environment": "production", "recorded_at": 1789402718}</x:v>
      </x:c>
      <x:c r="X193" s="10" t="n">
        <x:v>0</x:v>
      </x:c>
      <x:c r="Y193" s="8" t="n">
        <x:v>46279.679606481484</x:v>
      </x:c>
      <x:c r="Z193" s="3" t="str">
        <x:v>2026-09-14</x:v>
      </x:c>
      <x:c r="AA193" s="3" t="str">
        <x:v>ACTIVE / MIXED</x:v>
      </x:c>
      <x:c r="AB193" s="8" t="n">
        <x:v>46279.79864583333</x:v>
      </x:c>
      <x:c r="AC193" s="10" t="n">
        <x:v>515</x:v>
      </x:c>
      <x:c r="AD193" s="3"/>
      <x:c r="AE193" s="3"/>
      <x:c r="AF193" s="9"/>
      <x:c r="AG193" s="3"/>
      <x:c r="AH193" s="9"/>
      <x:c r="AI193" s="9"/>
      <x:c r="AJ193" s="3"/>
      <x:c r="AK193" s="9"/>
      <x:c r="AL193" s="3"/>
      <x:c r="AM193" s="3"/>
    </x:row>
    <x:row r="194" ht="21" customHeight="1">
      <x:c r="A194" s="8" t="n">
        <x:v>46279.81253472222</x:v>
      </x:c>
      <x:c r="B194" s="3" t="str">
        <x:v>THEUSDT</x:v>
      </x:c>
      <x:c r="C194" s="3" t="str">
        <x:v>BUY</x:v>
      </x:c>
      <x:c r="D194" s="3" t="str">
        <x:v>838966742</x:v>
      </x:c>
      <x:c r="E194" s="9" t="n">
        <x:v>451.8</x:v>
      </x:c>
      <x:c r="F194" s="9" t="n">
        <x:v>0.0664</x:v>
      </x:c>
      <x:c r="G194" s="9" t="n">
        <x:v>29.99952</x:v>
      </x:c>
      <x:c r="H194" s="9"/>
      <x:c r="I194" s="3"/>
      <x:c r="J194" s="3" t="str">
        <x:v>gross only; actual fees not recorded</x:v>
      </x:c>
      <x:c r="K194" s="3" t="str">
        <x:v>strategy buy signal</x:v>
      </x:c>
      <x:c r="L194" s="3" t="str">
        <x:v>production</x:v>
      </x:c>
      <x:c r="M194" s="10" t="n">
        <x:v>812</x:v>
      </x:c>
      <x:c r="N194" s="3" t="str">
        <x:v>USDT</x:v>
      </x:c>
      <x:c r="O194" s="9" t="n">
        <x:v>1789403399999</x:v>
      </x:c>
      <x:c r="P194" s="4" t="b">
        <x:v>0</x:v>
      </x:c>
      <x:c r="Q194" s="4" t="b">
        <x:v>1</x:v>
      </x:c>
      <x:c r="R194" s="4" t="b">
        <x:v>1</x:v>
      </x:c>
      <x:c r="S194" s="4" t="b">
        <x:v>1</x:v>
      </x:c>
      <x:c r="T194" s="4" t="b">
        <x:v>1</x:v>
      </x:c>
      <x:c r="U194" s="4" t="b">
        <x:v>1</x:v>
      </x:c>
      <x:c r="V194" s="10" t="n">
        <x:v>1789403403</x:v>
      </x:c>
      <x:c r="W194" s="3" t="str">
        <x:v>{"side": "BUY", "symbol": "THEUSDT", "order_id": 838966742, "quantity": "451.80000000", "price": "0.0664", "quote_amount": "29.99952000", "quote_asset": "USDT", "signal_candle_close_time": 1789403399999, "reason": "strategy buy signal", "entry_conditions": {"rsi_recovered": false, "near_support": true, "trend_ok": true, "reward_ok": true, "stop_risk_ok": true, "momentum_ok": true}, "environment": "production", "recorded_at": 1789403403}</x:v>
      </x:c>
      <x:c r="X194" s="10" t="n">
        <x:v>0</x:v>
      </x:c>
      <x:c r="Y194" s="8" t="n">
        <x:v>46279.68753472222</x:v>
      </x:c>
      <x:c r="Z194" s="3" t="str">
        <x:v>2026-09-14</x:v>
      </x:c>
      <x:c r="AA194" s="3" t="str">
        <x:v>ACTIVE / MIXED</x:v>
      </x:c>
      <x:c r="AB194" s="8" t="n">
        <x:v>46279.80915509259</x:v>
      </x:c>
      <x:c r="AC194" s="10" t="n">
        <x:v>292</x:v>
      </x:c>
      <x:c r="AD194" s="3" t="str">
        <x:v>rsi_recovered</x:v>
      </x:c>
      <x:c r="AE194" s="3"/>
      <x:c r="AF194" s="9"/>
      <x:c r="AG194" s="3"/>
      <x:c r="AH194" s="9"/>
      <x:c r="AI194" s="9"/>
      <x:c r="AJ194" s="3"/>
      <x:c r="AK194" s="9"/>
      <x:c r="AL194" s="3"/>
      <x:c r="AM194" s="3"/>
    </x:row>
    <x:row r="195" ht="21" customHeight="1">
      <x:c r="A195" s="8" t="n">
        <x:v>46279.854479166665</x:v>
      </x:c>
      <x:c r="B195" s="3" t="str">
        <x:v>THEUSDT</x:v>
      </x:c>
      <x:c r="C195" s="3" t="str">
        <x:v>SELL</x:v>
      </x:c>
      <x:c r="D195" s="3" t="str">
        <x:v>838978432</x:v>
      </x:c>
      <x:c r="E195" s="9" t="n">
        <x:v>451.3</x:v>
      </x:c>
      <x:c r="F195" s="9" t="n">
        <x:v>0.0661</x:v>
      </x:c>
      <x:c r="G195" s="9" t="n">
        <x:v>29.83093</x:v>
      </x:c>
      <x:c r="H195" s="9" t="n">
        <x:v>-0.13539</x:v>
      </x:c>
      <x:c r="I195" s="3"/>
      <x:c r="J195" s="3" t="str">
        <x:v>gross only; actual fees not recorded</x:v>
      </x:c>
      <x:c r="K195" s="3" t="str">
        <x:v>stop loss</x:v>
      </x:c>
      <x:c r="L195" s="3" t="str">
        <x:v>production</x:v>
      </x:c>
      <x:c r="M195" s="10" t="n">
        <x:v>813</x:v>
      </x:c>
      <x:c r="N195" s="3" t="str">
        <x:v>USDT</x:v>
      </x:c>
      <x:c r="O195" s="9"/>
      <x:c r="P195" s="3"/>
      <x:c r="Q195" s="3"/>
      <x:c r="R195" s="3"/>
      <x:c r="S195" s="3"/>
      <x:c r="T195" s="3"/>
      <x:c r="U195" s="3"/>
      <x:c r="V195" s="10" t="n">
        <x:v>1789407027</x:v>
      </x:c>
      <x:c r="W195" s="3" t="str">
        <x:v>{"side": "SELL", "symbol": "THEUSDT", "order_id": 838978432, "quantity": "451.30000000", "price": "0.0661", "quote_amount": "29.83093000", "quote_asset": "USDT", "reason": "stop loss", "estimated_pnl_usdt": "-0.135390000000", "environment": "production", "recorded_at": 1789407027}</x:v>
      </x:c>
      <x:c r="X195" s="10" t="n">
        <x:v>0</x:v>
      </x:c>
      <x:c r="Y195" s="8" t="n">
        <x:v>46279.729479166665</x:v>
      </x:c>
      <x:c r="Z195" s="3" t="str">
        <x:v>2026-09-14</x:v>
      </x:c>
      <x:c r="AA195" s="3" t="str">
        <x:v>ACTIVE / MIXED</x:v>
      </x:c>
      <x:c r="AB195" s="8" t="n">
        <x:v>46279.851122685184</x:v>
      </x:c>
      <x:c r="AC195" s="10" t="n">
        <x:v>290</x:v>
      </x:c>
      <x:c r="AD195" s="3"/>
      <x:c r="AE195" s="3"/>
      <x:c r="AF195" s="9"/>
      <x:c r="AG195" s="3"/>
      <x:c r="AH195" s="9"/>
      <x:c r="AI195" s="9"/>
      <x:c r="AJ195" s="3"/>
      <x:c r="AK195" s="9"/>
      <x:c r="AL195" s="3"/>
      <x:c r="AM195" s="3"/>
    </x:row>
    <x:row r="196" ht="21" customHeight="1">
      <x:c r="A196" s="8" t="n">
        <x:v>46279.85773148148</x:v>
      </x:c>
      <x:c r="B196" s="3" t="str">
        <x:v>TRUMPUSDT</x:v>
      </x:c>
      <x:c r="C196" s="3" t="str">
        <x:v>BUY</x:v>
      </x:c>
      <x:c r="D196" s="3" t="str">
        <x:v>2083444914</x:v>
      </x:c>
      <x:c r="E196" s="9" t="n">
        <x:v>14.771</x:v>
      </x:c>
      <x:c r="F196" s="9" t="n">
        <x:v>2.031</x:v>
      </x:c>
      <x:c r="G196" s="9" t="n">
        <x:v>29.999901</x:v>
      </x:c>
      <x:c r="H196" s="9"/>
      <x:c r="I196" s="3"/>
      <x:c r="J196" s="3" t="str">
        <x:v>gross only; actual fees not recorded</x:v>
      </x:c>
      <x:c r="K196" s="3" t="str">
        <x:v>strategy buy signal</x:v>
      </x:c>
      <x:c r="L196" s="3" t="str">
        <x:v>production</x:v>
      </x:c>
      <x:c r="M196" s="10" t="n">
        <x:v>814</x:v>
      </x:c>
      <x:c r="N196" s="3" t="str">
        <x:v>USDT</x:v>
      </x:c>
      <x:c r="O196" s="9" t="n">
        <x:v>1789407299999</x:v>
      </x:c>
      <x:c r="P196" s="4" t="b">
        <x:v>0</x:v>
      </x:c>
      <x:c r="Q196" s="4" t="b">
        <x:v>1</x:v>
      </x:c>
      <x:c r="R196" s="4" t="b">
        <x:v>1</x:v>
      </x:c>
      <x:c r="S196" s="4" t="b">
        <x:v>1</x:v>
      </x:c>
      <x:c r="T196" s="4" t="b">
        <x:v>1</x:v>
      </x:c>
      <x:c r="U196" s="4" t="b">
        <x:v>1</x:v>
      </x:c>
      <x:c r="V196" s="10" t="n">
        <x:v>1789407308</x:v>
      </x:c>
      <x:c r="W196" s="3" t="str">
        <x:v>{"side": "BUY", "symbol": "TRUMPUSDT", "order_id": 2083444914, "quantity": "14.77100000", "price": "2.031", "quote_amount": "29.99990100", "quote_asset": "USDT", "signal_candle_close_time": 1789407299999, "reason": "strategy buy signal", "entry_conditions": {"rsi_recovered": false, "near_support": true, "trend_ok": true, "reward_ok": true, "stop_risk_ok": true, "momentum_ok": true}, "environment": "production", "recorded_at": 1789407308}</x:v>
      </x:c>
      <x:c r="X196" s="10" t="n">
        <x:v>0</x:v>
      </x:c>
      <x:c r="Y196" s="8" t="n">
        <x:v>46279.73273148148</x:v>
      </x:c>
      <x:c r="Z196" s="3" t="str">
        <x:v>2026-09-14</x:v>
      </x:c>
      <x:c r="AA196" s="3" t="str">
        <x:v>ACTIVE / MIXED</x:v>
      </x:c>
      <x:c r="AB196" s="8" t="n">
        <x:v>46279.851122685184</x:v>
      </x:c>
      <x:c r="AC196" s="10" t="n">
        <x:v>571</x:v>
      </x:c>
      <x:c r="AD196" s="3" t="str">
        <x:v>rsi_recovered</x:v>
      </x:c>
      <x:c r="AE196" s="3"/>
      <x:c r="AF196" s="9"/>
      <x:c r="AG196" s="3"/>
      <x:c r="AH196" s="9"/>
      <x:c r="AI196" s="9"/>
      <x:c r="AJ196" s="3"/>
      <x:c r="AK196" s="9"/>
      <x:c r="AL196" s="3"/>
      <x:c r="AM196" s="3"/>
    </x:row>
    <x:row r="197" ht="21" customHeight="1">
      <x:c r="A197" s="8" t="n">
        <x:v>46279.88555555556</x:v>
      </x:c>
      <x:c r="B197" s="3" t="str">
        <x:v>ADAUSDT</x:v>
      </x:c>
      <x:c r="C197" s="3" t="str">
        <x:v>BUY</x:v>
      </x:c>
      <x:c r="D197" s="3" t="str">
        <x:v>8787787515</x:v>
      </x:c>
      <x:c r="E197" s="9" t="n">
        <x:v>141.9</x:v>
      </x:c>
      <x:c r="F197" s="9" t="n">
        <x:v>0.2113</x:v>
      </x:c>
      <x:c r="G197" s="9" t="n">
        <x:v>29.98347</x:v>
      </x:c>
      <x:c r="H197" s="9"/>
      <x:c r="I197" s="3"/>
      <x:c r="J197" s="3" t="str">
        <x:v>gross only; actual fees not recorded</x:v>
      </x:c>
      <x:c r="K197" s="3" t="str">
        <x:v>strategy buy signal</x:v>
      </x:c>
      <x:c r="L197" s="3" t="str">
        <x:v>production</x:v>
      </x:c>
      <x:c r="M197" s="10" t="n">
        <x:v>815</x:v>
      </x:c>
      <x:c r="N197" s="3" t="str">
        <x:v>USDT</x:v>
      </x:c>
      <x:c r="O197" s="9" t="n">
        <x:v>1789409699999</x:v>
      </x:c>
      <x:c r="P197" s="4" t="b">
        <x:v>0</x:v>
      </x:c>
      <x:c r="Q197" s="4" t="b">
        <x:v>1</x:v>
      </x:c>
      <x:c r="R197" s="4" t="b">
        <x:v>1</x:v>
      </x:c>
      <x:c r="S197" s="4" t="b">
        <x:v>1</x:v>
      </x:c>
      <x:c r="T197" s="4" t="b">
        <x:v>1</x:v>
      </x:c>
      <x:c r="U197" s="4" t="b">
        <x:v>1</x:v>
      </x:c>
      <x:c r="V197" s="10" t="n">
        <x:v>1789409712</x:v>
      </x:c>
      <x:c r="W197" s="3" t="str">
        <x:v>{"side": "BUY", "symbol": "ADAUSDT", "order_id": 8787787515, "quantity": "141.90000000", "price": "0.2113", "quote_amount": "29.98347000", "quote_asset": "USDT", "signal_candle_close_time": 1789409699999, "reason": "strategy buy signal", "entry_conditions": {"rsi_recovered": false, "near_support": true, "trend_ok": true, "reward_ok": true, "stop_risk_ok": true, "momentum_ok": true}, "environment": "production", "recorded_at": 1789409712}</x:v>
      </x:c>
      <x:c r="X197" s="10" t="n">
        <x:v>0</x:v>
      </x:c>
      <x:c r="Y197" s="8" t="n">
        <x:v>46279.76055555556</x:v>
      </x:c>
      <x:c r="Z197" s="3" t="str">
        <x:v>2026-09-14</x:v>
      </x:c>
      <x:c r="AA197" s="3" t="str">
        <x:v>ACTIVE / MIXED</x:v>
      </x:c>
      <x:c r="AB197" s="8" t="n">
        <x:v>46279.882627314815</x:v>
      </x:c>
      <x:c r="AC197" s="10" t="n">
        <x:v>253</x:v>
      </x:c>
      <x:c r="AD197" s="3" t="str">
        <x:v>rsi_recovered</x:v>
      </x:c>
      <x:c r="AE197" s="3"/>
      <x:c r="AF197" s="9"/>
      <x:c r="AG197" s="3"/>
      <x:c r="AH197" s="9"/>
      <x:c r="AI197" s="9"/>
      <x:c r="AJ197" s="3"/>
      <x:c r="AK197" s="9"/>
      <x:c r="AL197" s="3"/>
      <x:c r="AM197" s="3"/>
    </x:row>
    <x:row r="198" ht="21" customHeight="1">
      <x:c r="A198" s="8" t="n">
        <x:v>46279.88928240741</x:v>
      </x:c>
      <x:c r="B198" s="3" t="str">
        <x:v>HOLOUSDT</x:v>
      </x:c>
      <x:c r="C198" s="3" t="str">
        <x:v>BUY</x:v>
      </x:c>
      <x:c r="D198" s="3" t="str">
        <x:v>168871056</x:v>
      </x:c>
      <x:c r="E198" s="9" t="n">
        <x:v>504.2</x:v>
      </x:c>
      <x:c r="F198" s="9" t="n">
        <x:v>0.0595</x:v>
      </x:c>
      <x:c r="G198" s="9" t="n">
        <x:v>29.9999</x:v>
      </x:c>
      <x:c r="H198" s="9"/>
      <x:c r="I198" s="3"/>
      <x:c r="J198" s="3" t="str">
        <x:v>gross only; actual fees not recorded</x:v>
      </x:c>
      <x:c r="K198" s="3" t="str">
        <x:v>strategy buy signal</x:v>
      </x:c>
      <x:c r="L198" s="3" t="str">
        <x:v>production</x:v>
      </x:c>
      <x:c r="M198" s="10" t="n">
        <x:v>816</x:v>
      </x:c>
      <x:c r="N198" s="3" t="str">
        <x:v>USDT</x:v>
      </x:c>
      <x:c r="O198" s="9" t="n">
        <x:v>1789409999999</x:v>
      </x:c>
      <x:c r="P198" s="4" t="b">
        <x:v>0</x:v>
      </x:c>
      <x:c r="Q198" s="4" t="b">
        <x:v>1</x:v>
      </x:c>
      <x:c r="R198" s="4" t="b">
        <x:v>1</x:v>
      </x:c>
      <x:c r="S198" s="4" t="b">
        <x:v>1</x:v>
      </x:c>
      <x:c r="T198" s="4" t="b">
        <x:v>1</x:v>
      </x:c>
      <x:c r="U198" s="4" t="b">
        <x:v>1</x:v>
      </x:c>
      <x:c r="V198" s="10" t="n">
        <x:v>1789410034</x:v>
      </x:c>
      <x:c r="W198" s="3" t="str">
        <x:v>{"side": "BUY", "symbol": "HOLOUSDT", "order_id": 168871056, "quantity": "504.20000000", "price": "0.0595", "quote_amount": "29.99990000", "quote_asset": "USDT", "signal_candle_close_time": 1789409999999, "reason": "strategy buy signal", "entry_conditions": {"rsi_recovered": false, "near_support": true, "trend_ok": true, "reward_ok": true, "stop_risk_ok": true, "momentum_ok": true}, "environment": "production", "recorded_at": 1789410034}</x:v>
      </x:c>
      <x:c r="X198" s="10" t="n">
        <x:v>0</x:v>
      </x:c>
      <x:c r="Y198" s="8" t="n">
        <x:v>46279.76428240741</x:v>
      </x:c>
      <x:c r="Z198" s="3" t="str">
        <x:v>2026-09-14</x:v>
      </x:c>
      <x:c r="AA198" s="3" t="str">
        <x:v>ACTIVE / MIXED</x:v>
      </x:c>
      <x:c r="AB198" s="8" t="n">
        <x:v>46279.882627314815</x:v>
      </x:c>
      <x:c r="AC198" s="10" t="n">
        <x:v>575</x:v>
      </x:c>
      <x:c r="AD198" s="3" t="str">
        <x:v>rsi_recovered</x:v>
      </x:c>
      <x:c r="AE198" s="3"/>
      <x:c r="AF198" s="9"/>
      <x:c r="AG198" s="3"/>
      <x:c r="AH198" s="9"/>
      <x:c r="AI198" s="9"/>
      <x:c r="AJ198" s="3"/>
      <x:c r="AK198" s="9"/>
      <x:c r="AL198" s="3"/>
      <x:c r="AM198" s="3"/>
    </x:row>
    <x:row r="199" ht="21" customHeight="1">
      <x:c r="A199" s="8" t="n">
        <x:v>46279.890231481484</x:v>
      </x:c>
      <x:c r="B199" s="3" t="str">
        <x:v>TRUMPUSDT</x:v>
      </x:c>
      <x:c r="C199" s="3" t="str">
        <x:v>SELL</x:v>
      </x:c>
      <x:c r="D199" s="3" t="str">
        <x:v>2083474278</x:v>
      </x:c>
      <x:c r="E199" s="9" t="n">
        <x:v>14.757</x:v>
      </x:c>
      <x:c r="F199" s="9" t="n">
        <x:v>2.047</x:v>
      </x:c>
      <x:c r="G199" s="9" t="n">
        <x:v>30.207579</x:v>
      </x:c>
      <x:c r="H199" s="9" t="n">
        <x:v>0.236112</x:v>
      </x:c>
      <x:c r="I199" s="3"/>
      <x:c r="J199" s="3" t="str">
        <x:v>gross only; actual fees not recorded</x:v>
      </x:c>
      <x:c r="K199" s="3" t="str">
        <x:v>take profit</x:v>
      </x:c>
      <x:c r="L199" s="3" t="str">
        <x:v>production</x:v>
      </x:c>
      <x:c r="M199" s="10" t="n">
        <x:v>817</x:v>
      </x:c>
      <x:c r="N199" s="3" t="str">
        <x:v>USDT</x:v>
      </x:c>
      <x:c r="O199" s="9"/>
      <x:c r="P199" s="3"/>
      <x:c r="Q199" s="3"/>
      <x:c r="R199" s="3"/>
      <x:c r="S199" s="3"/>
      <x:c r="T199" s="3"/>
      <x:c r="U199" s="3"/>
      <x:c r="V199" s="10" t="n">
        <x:v>1789410116</x:v>
      </x:c>
      <x:c r="W199" s="3" t="str">
        <x:v>{"side": "SELL", "symbol": "TRUMPUSDT", "order_id": 2083474278, "quantity": "14.75700000", "price": "2.047", "quote_amount": "30.20757900", "quote_asset": "USDT", "reason": "take profit", "estimated_pnl_usdt": "0.23611200000", "environment": "production", "recorded_at": 1789410116}</x:v>
      </x:c>
      <x:c r="X199" s="10" t="n">
        <x:v>0</x:v>
      </x:c>
      <x:c r="Y199" s="8" t="n">
        <x:v>46279.765231481484</x:v>
      </x:c>
      <x:c r="Z199" s="3" t="str">
        <x:v>2026-09-14</x:v>
      </x:c>
      <x:c r="AA199" s="3" t="str">
        <x:v>ACTIVE / MIXED</x:v>
      </x:c>
      <x:c r="AB199" s="8" t="n">
        <x:v>46279.882627314815</x:v>
      </x:c>
      <x:c r="AC199" s="10" t="n">
        <x:v>657</x:v>
      </x:c>
      <x:c r="AD199" s="3"/>
      <x:c r="AE199" s="3"/>
      <x:c r="AF199" s="9"/>
      <x:c r="AG199" s="3"/>
      <x:c r="AH199" s="9"/>
      <x:c r="AI199" s="9"/>
      <x:c r="AJ199" s="3"/>
      <x:c r="AK199" s="9"/>
      <x:c r="AL199" s="3"/>
      <x:c r="AM199" s="3"/>
    </x:row>
    <x:row r="200" ht="21" customHeight="1">
      <x:c r="A200" s="8" t="n">
        <x:v>46279.89145833333</x:v>
      </x:c>
      <x:c r="B200" s="3" t="str">
        <x:v>ADAUSDT</x:v>
      </x:c>
      <x:c r="C200" s="3" t="str">
        <x:v>SELL</x:v>
      </x:c>
      <x:c r="D200" s="3" t="str">
        <x:v>8787805953</x:v>
      </x:c>
      <x:c r="E200" s="9" t="n">
        <x:v>141.8</x:v>
      </x:c>
      <x:c r="F200" s="9" t="n">
        <x:v>0.2131</x:v>
      </x:c>
      <x:c r="G200" s="9" t="n">
        <x:v>30.21758</x:v>
      </x:c>
      <x:c r="H200" s="9" t="n">
        <x:v>0.25524</x:v>
      </x:c>
      <x:c r="I200" s="3"/>
      <x:c r="J200" s="3" t="str">
        <x:v>gross only; actual fees not recorded</x:v>
      </x:c>
      <x:c r="K200" s="3" t="str">
        <x:v>take profit</x:v>
      </x:c>
      <x:c r="L200" s="3" t="str">
        <x:v>production</x:v>
      </x:c>
      <x:c r="M200" s="10" t="n">
        <x:v>818</x:v>
      </x:c>
      <x:c r="N200" s="3" t="str">
        <x:v>USDT</x:v>
      </x:c>
      <x:c r="O200" s="9"/>
      <x:c r="P200" s="3"/>
      <x:c r="Q200" s="3"/>
      <x:c r="R200" s="3"/>
      <x:c r="S200" s="3"/>
      <x:c r="T200" s="3"/>
      <x:c r="U200" s="3"/>
      <x:c r="V200" s="10" t="n">
        <x:v>1789410222</x:v>
      </x:c>
      <x:c r="W200" s="3" t="str">
        <x:v>{"side": "SELL", "symbol": "ADAUSDT", "order_id": 8787805953, "quantity": "141.80000000", "price": "0.2131", "quote_amount": "30.21758000", "quote_asset": "USDT", "reason": "take profit", "estimated_pnl_usdt": "0.255240000000", "environment": "production", "recorded_at": 1789410222}</x:v>
      </x:c>
      <x:c r="X200" s="10" t="n">
        <x:v>0</x:v>
      </x:c>
      <x:c r="Y200" s="8" t="n">
        <x:v>46279.76645833333</x:v>
      </x:c>
      <x:c r="Z200" s="3" t="str">
        <x:v>2026-09-14</x:v>
      </x:c>
      <x:c r="AA200" s="3" t="str">
        <x:v>ACTIVE / MIXED</x:v>
      </x:c>
      <x:c r="AB200" s="8" t="n">
        <x:v>46279.882627314815</x:v>
      </x:c>
      <x:c r="AC200" s="10" t="n">
        <x:v>763</x:v>
      </x:c>
      <x:c r="AD200" s="3"/>
      <x:c r="AE200" s="3"/>
      <x:c r="AF200" s="9"/>
      <x:c r="AG200" s="3"/>
      <x:c r="AH200" s="9"/>
      <x:c r="AI200" s="9"/>
      <x:c r="AJ200" s="3"/>
      <x:c r="AK200" s="9"/>
      <x:c r="AL200" s="3"/>
      <x:c r="AM200" s="3"/>
    </x:row>
    <x:row r="201" ht="21" customHeight="1">
      <x:c r="A201" s="8" t="n">
        <x:v>46279.906435185185</x:v>
      </x:c>
      <x:c r="B201" s="3" t="str">
        <x:v>SNDKBUSDT</x:v>
      </x:c>
      <x:c r="C201" s="3" t="str">
        <x:v>BUY</x:v>
      </x:c>
      <x:c r="D201" s="3" t="str">
        <x:v>346266058</x:v>
      </x:c>
      <x:c r="E201" s="9" t="n">
        <x:v>0.0191</x:v>
      </x:c>
      <x:c r="F201" s="9" t="n">
        <x:v>1562.867172774869</x:v>
      </x:c>
      <x:c r="G201" s="9" t="n">
        <x:v>29.850763</x:v>
      </x:c>
      <x:c r="H201" s="9"/>
      <x:c r="I201" s="3"/>
      <x:c r="J201" s="3" t="str">
        <x:v>gross only; actual fees not recorded</x:v>
      </x:c>
      <x:c r="K201" s="3" t="str">
        <x:v>strategy buy signal</x:v>
      </x:c>
      <x:c r="L201" s="3" t="str">
        <x:v>production</x:v>
      </x:c>
      <x:c r="M201" s="10" t="n">
        <x:v>819</x:v>
      </x:c>
      <x:c r="N201" s="3" t="str">
        <x:v>USDT</x:v>
      </x:c>
      <x:c r="O201" s="9" t="n">
        <x:v>1789411499999</x:v>
      </x:c>
      <x:c r="P201" s="4" t="b">
        <x:v>0</x:v>
      </x:c>
      <x:c r="Q201" s="4" t="b">
        <x:v>1</x:v>
      </x:c>
      <x:c r="R201" s="4" t="b">
        <x:v>1</x:v>
      </x:c>
      <x:c r="S201" s="4" t="b">
        <x:v>1</x:v>
      </x:c>
      <x:c r="T201" s="4" t="b">
        <x:v>1</x:v>
      </x:c>
      <x:c r="U201" s="4" t="b">
        <x:v>1</x:v>
      </x:c>
      <x:c r="V201" s="10" t="n">
        <x:v>1789411516</x:v>
      </x:c>
      <x:c r="W201" s="3" t="str">
        <x:v>{"side": "BUY", "symbol": "SNDKBUSDT", "order_id": 346266058, "quantity": "0.01910000", "price": "1562.867172774869109947643979", "quote_amount": "29.85076300", "quote_asset": "USDT", "signal_candle_close_time": 1789411499999, "reason": "strategy buy signal", "entry_conditions": {"rsi_recovered": false, "near_support": true, "trend_ok": true, "reward_ok": true, "stop_risk_ok": true, "momentum_ok": true}, "environment": "production", "recorded_at": 1789411516}</x:v>
      </x:c>
      <x:c r="X201" s="10" t="n">
        <x:v>0</x:v>
      </x:c>
      <x:c r="Y201" s="8" t="n">
        <x:v>46279.781435185185</x:v>
      </x:c>
      <x:c r="Z201" s="3" t="str">
        <x:v>2026-09-14</x:v>
      </x:c>
      <x:c r="AA201" s="3" t="str">
        <x:v>ACTIVE / MIXED</x:v>
      </x:c>
      <x:c r="AB201" s="8" t="n">
        <x:v>46279.90377314815</x:v>
      </x:c>
      <x:c r="AC201" s="10" t="n">
        <x:v>230</x:v>
      </x:c>
      <x:c r="AD201" s="3" t="str">
        <x:v>rsi_recovered</x:v>
      </x:c>
      <x:c r="AE201" s="3"/>
      <x:c r="AF201" s="9"/>
      <x:c r="AG201" s="3"/>
      <x:c r="AH201" s="9"/>
      <x:c r="AI201" s="9"/>
      <x:c r="AJ201" s="3"/>
      <x:c r="AK201" s="9"/>
      <x:c r="AL201" s="3"/>
      <x:c r="AM201" s="3"/>
    </x:row>
    <x:row r="202" ht="21" customHeight="1">
      <x:c r="A202" s="8" t="n">
        <x:v>46279.9134837963</x:v>
      </x:c>
      <x:c r="B202" s="3" t="str">
        <x:v>AVAXUSDT</x:v>
      </x:c>
      <x:c r="C202" s="3" t="str">
        <x:v>BUY</x:v>
      </x:c>
      <x:c r="D202" s="3" t="str">
        <x:v>5735304470</x:v>
      </x:c>
      <x:c r="E202" s="9" t="n">
        <x:v>3.94</x:v>
      </x:c>
      <x:c r="F202" s="9" t="n">
        <x:v>7.61</x:v>
      </x:c>
      <x:c r="G202" s="9" t="n">
        <x:v>29.9834</x:v>
      </x:c>
      <x:c r="H202" s="9"/>
      <x:c r="I202" s="3"/>
      <x:c r="J202" s="3" t="str">
        <x:v>gross only; actual fees not recorded</x:v>
      </x:c>
      <x:c r="K202" s="3" t="str">
        <x:v>strategy buy signal</x:v>
      </x:c>
      <x:c r="L202" s="3" t="str">
        <x:v>production</x:v>
      </x:c>
      <x:c r="M202" s="10" t="n">
        <x:v>820</x:v>
      </x:c>
      <x:c r="N202" s="3" t="str">
        <x:v>USDT</x:v>
      </x:c>
      <x:c r="O202" s="9" t="n">
        <x:v>1789412099999</x:v>
      </x:c>
      <x:c r="P202" s="4" t="b">
        <x:v>0</x:v>
      </x:c>
      <x:c r="Q202" s="4" t="b">
        <x:v>1</x:v>
      </x:c>
      <x:c r="R202" s="4" t="b">
        <x:v>1</x:v>
      </x:c>
      <x:c r="S202" s="4" t="b">
        <x:v>1</x:v>
      </x:c>
      <x:c r="T202" s="4" t="b">
        <x:v>1</x:v>
      </x:c>
      <x:c r="U202" s="4" t="b">
        <x:v>1</x:v>
      </x:c>
      <x:c r="V202" s="10" t="n">
        <x:v>1789412125</x:v>
      </x:c>
      <x:c r="W202" s="3" t="str">
        <x:v>{"side": "BUY", "symbol": "AVAXUSDT", "order_id": 5735304470, "quantity": "3.94000000", "price": "7.61", "quote_amount": "29.98340000", "quote_asset": "USDT", "signal_candle_close_time": 1789412099999, "reason": "strategy buy signal", "entry_conditions": {"rsi_recovered": false, "near_support": true, "trend_ok": true, "reward_ok": true, "stop_risk_ok": true, "momentum_ok": true}, "environment": "production", "recorded_at": 1789412125}</x:v>
      </x:c>
      <x:c r="X202" s="10" t="n">
        <x:v>0</x:v>
      </x:c>
      <x:c r="Y202" s="8" t="n">
        <x:v>46279.7884837963</x:v>
      </x:c>
      <x:c r="Z202" s="3" t="str">
        <x:v>2026-09-14</x:v>
      </x:c>
      <x:c r="AA202" s="3" t="str">
        <x:v>ACTIVE / MIXED</x:v>
      </x:c>
      <x:c r="AB202" s="8" t="n">
        <x:v>46279.90377314815</x:v>
      </x:c>
      <x:c r="AC202" s="10" t="n">
        <x:v>839</x:v>
      </x:c>
      <x:c r="AD202" s="3" t="str">
        <x:v>rsi_recovered</x:v>
      </x:c>
      <x:c r="AE202" s="3"/>
      <x:c r="AF202" s="9"/>
      <x:c r="AG202" s="3"/>
      <x:c r="AH202" s="9"/>
      <x:c r="AI202" s="9"/>
      <x:c r="AJ202" s="3"/>
      <x:c r="AK202" s="9"/>
      <x:c r="AL202" s="3"/>
      <x:c r="AM202" s="3"/>
    </x:row>
    <x:row r="203" ht="21" customHeight="1">
      <x:c r="A203" s="8" t="n">
        <x:v>46279.92020833334</x:v>
      </x:c>
      <x:c r="B203" s="3" t="str">
        <x:v>DOGEUSDT</x:v>
      </x:c>
      <x:c r="C203" s="3" t="str">
        <x:v>BUY</x:v>
      </x:c>
      <x:c r="D203" s="3" t="str">
        <x:v>14930780832</x:v>
      </x:c>
      <x:c r="E203" s="9" t="n">
        <x:v>353</x:v>
      </x:c>
      <x:c r="F203" s="9" t="n">
        <x:v>0.08477</x:v>
      </x:c>
      <x:c r="G203" s="9" t="n">
        <x:v>29.92381</x:v>
      </x:c>
      <x:c r="H203" s="9"/>
      <x:c r="I203" s="3"/>
      <x:c r="J203" s="3" t="str">
        <x:v>gross only; actual fees not recorded</x:v>
      </x:c>
      <x:c r="K203" s="3" t="str">
        <x:v>strategy buy signal</x:v>
      </x:c>
      <x:c r="L203" s="3" t="str">
        <x:v>production</x:v>
      </x:c>
      <x:c r="M203" s="10" t="n">
        <x:v>821</x:v>
      </x:c>
      <x:c r="N203" s="3" t="str">
        <x:v>USDT</x:v>
      </x:c>
      <x:c r="O203" s="9" t="n">
        <x:v>1789412699999</x:v>
      </x:c>
      <x:c r="P203" s="4" t="b">
        <x:v>0</x:v>
      </x:c>
      <x:c r="Q203" s="4" t="b">
        <x:v>1</x:v>
      </x:c>
      <x:c r="R203" s="4" t="b">
        <x:v>1</x:v>
      </x:c>
      <x:c r="S203" s="4" t="b">
        <x:v>1</x:v>
      </x:c>
      <x:c r="T203" s="4" t="b">
        <x:v>1</x:v>
      </x:c>
      <x:c r="U203" s="4" t="b">
        <x:v>1</x:v>
      </x:c>
      <x:c r="V203" s="10" t="n">
        <x:v>1789412706</x:v>
      </x:c>
      <x:c r="W203" s="3" t="str">
        <x:v>{"side": "BUY", "symbol": "DOGEUSDT", "order_id": 14930780832, "quantity": "353.00000000", "price": "0.08477", "quote_amount": "29.92381000", "quote_asset": "USDT", "signal_candle_close_time": 1789412699999, "reason": "strategy buy signal", "entry_conditions": {"rsi_recovered": false, "near_support": true, "trend_ok": true, "reward_ok": true, "stop_risk_ok": true, "momentum_ok": true}, "environment": "production", "recorded_at": 1789412706}</x:v>
      </x:c>
      <x:c r="X203" s="10" t="n">
        <x:v>0</x:v>
      </x:c>
      <x:c r="Y203" s="8" t="n">
        <x:v>46279.79520833334</x:v>
      </x:c>
      <x:c r="Z203" s="3" t="str">
        <x:v>2026-09-14</x:v>
      </x:c>
      <x:c r="AA203" s="3" t="str">
        <x:v>ACTIVE / MIXED</x:v>
      </x:c>
      <x:c r="AB203" s="8" t="n">
        <x:v>46279.914606481485</x:v>
      </x:c>
      <x:c r="AC203" s="10" t="n">
        <x:v>484</x:v>
      </x:c>
      <x:c r="AD203" s="3" t="str">
        <x:v>rsi_recovered</x:v>
      </x:c>
      <x:c r="AE203" s="3"/>
      <x:c r="AF203" s="9"/>
      <x:c r="AG203" s="3"/>
      <x:c r="AH203" s="9"/>
      <x:c r="AI203" s="9"/>
      <x:c r="AJ203" s="3"/>
      <x:c r="AK203" s="9"/>
      <x:c r="AL203" s="3"/>
      <x:c r="AM203" s="3"/>
    </x:row>
    <x:row r="204" ht="21" customHeight="1">
      <x:c r="A204" s="8" t="n">
        <x:v>46279.937893518516</x:v>
      </x:c>
      <x:c r="B204" s="3" t="str">
        <x:v>WLDUSDT</x:v>
      </x:c>
      <x:c r="C204" s="3" t="str">
        <x:v>BUY</x:v>
      </x:c>
      <x:c r="D204" s="3" t="str">
        <x:v>4153931090</x:v>
      </x:c>
      <x:c r="E204" s="9" t="n">
        <x:v>76.5</x:v>
      </x:c>
      <x:c r="F204" s="9" t="n">
        <x:v>0.3917</x:v>
      </x:c>
      <x:c r="G204" s="9" t="n">
        <x:v>29.96505</x:v>
      </x:c>
      <x:c r="H204" s="9"/>
      <x:c r="I204" s="3"/>
      <x:c r="J204" s="3" t="str">
        <x:v>gross only; actual fees not recorded</x:v>
      </x:c>
      <x:c r="K204" s="3" t="str">
        <x:v>strategy buy signal</x:v>
      </x:c>
      <x:c r="L204" s="3" t="str">
        <x:v>production</x:v>
      </x:c>
      <x:c r="M204" s="10" t="n">
        <x:v>822</x:v>
      </x:c>
      <x:c r="N204" s="3" t="str">
        <x:v>USDT</x:v>
      </x:c>
      <x:c r="O204" s="9" t="n">
        <x:v>1789414199999</x:v>
      </x:c>
      <x:c r="P204" s="4" t="b">
        <x:v>0</x:v>
      </x:c>
      <x:c r="Q204" s="4" t="b">
        <x:v>1</x:v>
      </x:c>
      <x:c r="R204" s="4" t="b">
        <x:v>1</x:v>
      </x:c>
      <x:c r="S204" s="4" t="b">
        <x:v>1</x:v>
      </x:c>
      <x:c r="T204" s="4" t="b">
        <x:v>1</x:v>
      </x:c>
      <x:c r="U204" s="4" t="b">
        <x:v>1</x:v>
      </x:c>
      <x:c r="V204" s="10" t="n">
        <x:v>1789414234</x:v>
      </x:c>
      <x:c r="W204" s="3" t="str">
        <x:v>{"side": "BUY", "symbol": "WLDUSDT", "order_id": 4153931090, "quantity": "76.50000000", "price": "0.3917", "quote_amount": "29.96505000", "quote_asset": "USDT", "signal_candle_close_time": 1789414199999, "reason": "strategy buy signal", "entry_conditions": {"rsi_recovered": false, "near_support": true, "trend_ok": true, "reward_ok": true, "stop_risk_ok": true, "momentum_ok": true}, "environment": "production", "recorded_at": 1789414234}</x:v>
      </x:c>
      <x:c r="X204" s="10" t="n">
        <x:v>0</x:v>
      </x:c>
      <x:c r="Y204" s="8" t="n">
        <x:v>46279.812893518516</x:v>
      </x:c>
      <x:c r="Z204" s="3" t="str">
        <x:v>2026-09-14</x:v>
      </x:c>
      <x:c r="AA204" s="3" t="str">
        <x:v>ACTIVE / POSITIVE</x:v>
      </x:c>
      <x:c r="AB204" s="8" t="n">
        <x:v>46279.936111111114</x:v>
      </x:c>
      <x:c r="AC204" s="10" t="n">
        <x:v>154</x:v>
      </x:c>
      <x:c r="AD204" s="3" t="str">
        <x:v>rsi_recovered</x:v>
      </x:c>
      <x:c r="AE204" s="3"/>
      <x:c r="AF204" s="9"/>
      <x:c r="AG204" s="3"/>
      <x:c r="AH204" s="9"/>
      <x:c r="AI204" s="9"/>
      <x:c r="AJ204" s="3"/>
      <x:c r="AK204" s="9"/>
      <x:c r="AL204" s="3"/>
      <x:c r="AM204" s="3"/>
    </x:row>
    <x:row r="205" ht="21" customHeight="1">
      <x:c r="A205" s="8" t="n">
        <x:v>46279.937951388885</x:v>
      </x:c>
      <x:c r="B205" s="3" t="str">
        <x:v>SOLUSDT</x:v>
      </x:c>
      <x:c r="C205" s="3" t="str">
        <x:v>BUY</x:v>
      </x:c>
      <x:c r="D205" s="3" t="str">
        <x:v>17800436988</x:v>
      </x:c>
      <x:c r="E205" s="9" t="n">
        <x:v>0.29</x:v>
      </x:c>
      <x:c r="F205" s="9" t="n">
        <x:v>103.31</x:v>
      </x:c>
      <x:c r="G205" s="9" t="n">
        <x:v>29.9599</x:v>
      </x:c>
      <x:c r="H205" s="9"/>
      <x:c r="I205" s="3"/>
      <x:c r="J205" s="3" t="str">
        <x:v>gross only; actual fees not recorded</x:v>
      </x:c>
      <x:c r="K205" s="3" t="str">
        <x:v>strategy buy signal</x:v>
      </x:c>
      <x:c r="L205" s="3" t="str">
        <x:v>production</x:v>
      </x:c>
      <x:c r="M205" s="10" t="n">
        <x:v>823</x:v>
      </x:c>
      <x:c r="N205" s="3" t="str">
        <x:v>USDT</x:v>
      </x:c>
      <x:c r="O205" s="9" t="n">
        <x:v>1789414199999</x:v>
      </x:c>
      <x:c r="P205" s="4" t="b">
        <x:v>0</x:v>
      </x:c>
      <x:c r="Q205" s="4" t="b">
        <x:v>1</x:v>
      </x:c>
      <x:c r="R205" s="4" t="b">
        <x:v>1</x:v>
      </x:c>
      <x:c r="S205" s="4" t="b">
        <x:v>1</x:v>
      </x:c>
      <x:c r="T205" s="4" t="b">
        <x:v>1</x:v>
      </x:c>
      <x:c r="U205" s="4" t="b">
        <x:v>1</x:v>
      </x:c>
      <x:c r="V205" s="10" t="n">
        <x:v>1789414239</x:v>
      </x:c>
      <x:c r="W205" s="3" t="str">
        <x:v>{"side": "BUY", "symbol": "SOLUSDT", "order_id": 17800436988, "quantity": "0.29000000", "price": "103.31", "quote_amount": "29.95990000", "quote_asset": "USDT", "signal_candle_close_time": 1789414199999, "reason": "strategy buy signal", "entry_conditions": {"rsi_recovered": false, "near_support": true, "trend_ok": true, "reward_ok": true, "stop_risk_ok": true, "momentum_ok": true}, "environment": "production", "recorded_at": 1789414239}</x:v>
      </x:c>
      <x:c r="X205" s="10" t="n">
        <x:v>0</x:v>
      </x:c>
      <x:c r="Y205" s="8" t="n">
        <x:v>46279.812951388885</x:v>
      </x:c>
      <x:c r="Z205" s="3" t="str">
        <x:v>2026-09-14</x:v>
      </x:c>
      <x:c r="AA205" s="3" t="str">
        <x:v>ACTIVE / POSITIVE</x:v>
      </x:c>
      <x:c r="AB205" s="8" t="n">
        <x:v>46279.936111111114</x:v>
      </x:c>
      <x:c r="AC205" s="10" t="n">
        <x:v>159</x:v>
      </x:c>
      <x:c r="AD205" s="3" t="str">
        <x:v>rsi_recovered</x:v>
      </x:c>
      <x:c r="AE205" s="3"/>
      <x:c r="AF205" s="9"/>
      <x:c r="AG205" s="3"/>
      <x:c r="AH205" s="9"/>
      <x:c r="AI205" s="9"/>
      <x:c r="AJ205" s="3"/>
      <x:c r="AK205" s="9"/>
      <x:c r="AL205" s="3"/>
      <x:c r="AM205" s="3"/>
    </x:row>
    <x:row r="206" ht="21" customHeight="1">
      <x:c r="A206" s="8" t="n">
        <x:v>46279.95515046296</x:v>
      </x:c>
      <x:c r="B206" s="3" t="str">
        <x:v>SNDKBUSDT</x:v>
      </x:c>
      <x:c r="C206" s="3" t="str">
        <x:v>SELL</x:v>
      </x:c>
      <x:c r="D206" s="3" t="str">
        <x:v>346460468</x:v>
      </x:c>
      <x:c r="E206" s="9" t="n">
        <x:v>0.019</x:v>
      </x:c>
      <x:c r="F206" s="9" t="n">
        <x:v>1556.9762105263158</x:v>
      </x:c>
      <x:c r="G206" s="9" t="n">
        <x:v>29.582548</x:v>
      </x:c>
      <x:c r="H206" s="9" t="n">
        <x:v>-0.1119282827225131</x:v>
      </x:c>
      <x:c r="I206" s="3"/>
      <x:c r="J206" s="3" t="str">
        <x:v>gross only; actual fees not recorded</x:v>
      </x:c>
      <x:c r="K206" s="3" t="str">
        <x:v>stop loss</x:v>
      </x:c>
      <x:c r="L206" s="3" t="str">
        <x:v>production</x:v>
      </x:c>
      <x:c r="M206" s="10" t="n">
        <x:v>824</x:v>
      </x:c>
      <x:c r="N206" s="3" t="str">
        <x:v>USDT</x:v>
      </x:c>
      <x:c r="O206" s="9"/>
      <x:c r="P206" s="3"/>
      <x:c r="Q206" s="3"/>
      <x:c r="R206" s="3"/>
      <x:c r="S206" s="3"/>
      <x:c r="T206" s="3"/>
      <x:c r="U206" s="3"/>
      <x:c r="V206" s="10" t="n">
        <x:v>1789415725</x:v>
      </x:c>
      <x:c r="W206" s="3" t="str">
        <x:v>{"side": "SELL", "symbol": "SNDKBUSDT", "order_id": 346460468, "quantity": "0.01900000", "price": "1556.976210526315789473684211", "quote_amount": "29.58254800", "quote_asset": "USDT", "reason": "stop loss", "estimated_pnl_usdt": "-0.1119282827225130890052355920", "environment": "production", "recorded_at": 1789415725}</x:v>
      </x:c>
      <x:c r="X206" s="10" t="n">
        <x:v>0</x:v>
      </x:c>
      <x:c r="Y206" s="8" t="n">
        <x:v>46279.83015046296</x:v>
      </x:c>
      <x:c r="Z206" s="3" t="str">
        <x:v>2026-09-14</x:v>
      </x:c>
      <x:c r="AA206" s="3" t="str">
        <x:v>ACTIVE / POSITIVE</x:v>
      </x:c>
      <x:c r="AB206" s="8" t="n">
        <x:v>46279.946805555555</x:v>
      </x:c>
      <x:c r="AC206" s="10" t="n">
        <x:v>721</x:v>
      </x:c>
      <x:c r="AD206" s="3"/>
      <x:c r="AE206" s="3"/>
      <x:c r="AF206" s="9"/>
      <x:c r="AG206" s="3"/>
      <x:c r="AH206" s="9"/>
      <x:c r="AI206" s="9"/>
      <x:c r="AJ206" s="3"/>
      <x:c r="AK206" s="9"/>
      <x:c r="AL206" s="3"/>
      <x:c r="AM206" s="3"/>
    </x:row>
    <x:row r="207" ht="21" customHeight="1">
      <x:c r="A207" s="8" t="n">
        <x:v>46279.95857638889</x:v>
      </x:c>
      <x:c r="B207" s="3" t="str">
        <x:v>ONDOUSDT</x:v>
      </x:c>
      <x:c r="C207" s="3" t="str">
        <x:v>BUY</x:v>
      </x:c>
      <x:c r="D207" s="3" t="str">
        <x:v>1065245601</x:v>
      </x:c>
      <x:c r="E207" s="9" t="n">
        <x:v>83.4</x:v>
      </x:c>
      <x:c r="F207" s="9" t="n">
        <x:v>0.3594</x:v>
      </x:c>
      <x:c r="G207" s="9" t="n">
        <x:v>29.97396</x:v>
      </x:c>
      <x:c r="H207" s="9"/>
      <x:c r="I207" s="3"/>
      <x:c r="J207" s="3" t="str">
        <x:v>gross only; actual fees not recorded</x:v>
      </x:c>
      <x:c r="K207" s="3" t="str">
        <x:v>strategy buy signal</x:v>
      </x:c>
      <x:c r="L207" s="3" t="str">
        <x:v>production</x:v>
      </x:c>
      <x:c r="M207" s="10" t="n">
        <x:v>825</x:v>
      </x:c>
      <x:c r="N207" s="3" t="str">
        <x:v>USDT</x:v>
      </x:c>
      <x:c r="O207" s="9" t="n">
        <x:v>1789415999999</x:v>
      </x:c>
      <x:c r="P207" s="4" t="b">
        <x:v>0</x:v>
      </x:c>
      <x:c r="Q207" s="4" t="b">
        <x:v>1</x:v>
      </x:c>
      <x:c r="R207" s="4" t="b">
        <x:v>1</x:v>
      </x:c>
      <x:c r="S207" s="4" t="b">
        <x:v>1</x:v>
      </x:c>
      <x:c r="T207" s="4" t="b">
        <x:v>1</x:v>
      </x:c>
      <x:c r="U207" s="4" t="b">
        <x:v>1</x:v>
      </x:c>
      <x:c r="V207" s="10" t="n">
        <x:v>1789416021</x:v>
      </x:c>
      <x:c r="W207" s="3" t="str">
        <x:v>{"side": "BUY", "symbol": "ONDOUSDT", "order_id": 1065245601, "quantity": "83.40000000", "price": "0.3594", "quote_amount": "29.97396000", "quote_asset": "USDT", "signal_candle_close_time": 1789415999999, "reason": "strategy buy signal", "entry_conditions": {"rsi_recovered": false, "near_support": true, "trend_ok": true, "reward_ok": true, "stop_risk_ok": true, "momentum_ok": true}, "environment": "production", "recorded_at": 1789416021}</x:v>
      </x:c>
      <x:c r="X207" s="10" t="n">
        <x:v>0</x:v>
      </x:c>
      <x:c r="Y207" s="8" t="n">
        <x:v>46279.83357638889</x:v>
      </x:c>
      <x:c r="Z207" s="3" t="str">
        <x:v>2026-09-14</x:v>
      </x:c>
      <x:c r="AA207" s="3" t="str">
        <x:v>ACTIVE / POSITIVE</x:v>
      </x:c>
      <x:c r="AB207" s="8" t="n">
        <x:v>46279.95752314815</x:v>
      </x:c>
      <x:c r="AC207" s="10" t="n">
        <x:v>91</x:v>
      </x:c>
      <x:c r="AD207" s="3" t="str">
        <x:v>rsi_recovered</x:v>
      </x:c>
      <x:c r="AE207" s="3"/>
      <x:c r="AF207" s="9"/>
      <x:c r="AG207" s="3"/>
      <x:c r="AH207" s="9"/>
      <x:c r="AI207" s="9"/>
      <x:c r="AJ207" s="3"/>
      <x:c r="AK207" s="9"/>
      <x:c r="AL207" s="3"/>
      <x:c r="AM207" s="3"/>
    </x:row>
    <x:row r="208" ht="21" customHeight="1">
      <x:c r="A208" s="8" t="n">
        <x:v>46279.96396990741</x:v>
      </x:c>
      <x:c r="B208" s="3" t="str">
        <x:v>ONDOUSDT</x:v>
      </x:c>
      <x:c r="C208" s="3" t="str">
        <x:v>SELL</x:v>
      </x:c>
      <x:c r="D208" s="3" t="str">
        <x:v>1065250571</x:v>
      </x:c>
      <x:c r="E208" s="9" t="n">
        <x:v>83.3</x:v>
      </x:c>
      <x:c r="F208" s="9" t="n">
        <x:v>0.3612</x:v>
      </x:c>
      <x:c r="G208" s="9" t="n">
        <x:v>30.08796</x:v>
      </x:c>
      <x:c r="H208" s="9" t="n">
        <x:v>0.14994</x:v>
      </x:c>
      <x:c r="I208" s="3"/>
      <x:c r="J208" s="3" t="str">
        <x:v>gross only; actual fees not recorded</x:v>
      </x:c>
      <x:c r="K208" s="3" t="str">
        <x:v>take profit</x:v>
      </x:c>
      <x:c r="L208" s="3" t="str">
        <x:v>production</x:v>
      </x:c>
      <x:c r="M208" s="10" t="n">
        <x:v>826</x:v>
      </x:c>
      <x:c r="N208" s="3" t="str">
        <x:v>USDT</x:v>
      </x:c>
      <x:c r="O208" s="9"/>
      <x:c r="P208" s="3"/>
      <x:c r="Q208" s="3"/>
      <x:c r="R208" s="3"/>
      <x:c r="S208" s="3"/>
      <x:c r="T208" s="3"/>
      <x:c r="U208" s="3"/>
      <x:c r="V208" s="10" t="n">
        <x:v>1789416487</x:v>
      </x:c>
      <x:c r="W208" s="3" t="str">
        <x:v>{"side": "SELL", "symbol": "ONDOUSDT", "order_id": 1065250571, "quantity": "83.30000000", "price": "0.3612", "quote_amount": "30.08796000", "quote_asset": "USDT", "reason": "take profit", "estimated_pnl_usdt": "0.149940000000", "environment": "production", "recorded_at": 1789416487}</x:v>
      </x:c>
      <x:c r="X208" s="10" t="n">
        <x:v>0</x:v>
      </x:c>
      <x:c r="Y208" s="8" t="n">
        <x:v>46279.83896990741</x:v>
      </x:c>
      <x:c r="Z208" s="3" t="str">
        <x:v>2026-09-14</x:v>
      </x:c>
      <x:c r="AA208" s="3" t="str">
        <x:v>ACTIVE / POSITIVE</x:v>
      </x:c>
      <x:c r="AB208" s="8" t="n">
        <x:v>46279.95752314815</x:v>
      </x:c>
      <x:c r="AC208" s="10" t="n">
        <x:v>557</x:v>
      </x:c>
      <x:c r="AD208" s="3"/>
      <x:c r="AE208" s="3"/>
      <x:c r="AF208" s="9"/>
      <x:c r="AG208" s="3"/>
      <x:c r="AH208" s="9"/>
      <x:c r="AI208" s="9"/>
      <x:c r="AJ208" s="3"/>
      <x:c r="AK208" s="9"/>
      <x:c r="AL208" s="3"/>
      <x:c r="AM208" s="3"/>
    </x:row>
    <x:row r="209" ht="21" customHeight="1">
      <x:c r="A209" s="8" t="n">
        <x:v>46279.96710648148</x:v>
      </x:c>
      <x:c r="B209" s="3" t="str">
        <x:v>AVAXUSDT</x:v>
      </x:c>
      <x:c r="C209" s="3" t="str">
        <x:v>SELL</x:v>
      </x:c>
      <x:c r="D209" s="3" t="str">
        <x:v>5735408221</x:v>
      </x:c>
      <x:c r="E209" s="9" t="n">
        <x:v>3.93</x:v>
      </x:c>
      <x:c r="F209" s="9" t="n">
        <x:v>7.656</x:v>
      </x:c>
      <x:c r="G209" s="9" t="n">
        <x:v>30.08808</x:v>
      </x:c>
      <x:c r="H209" s="9" t="n">
        <x:v>0.18078</x:v>
      </x:c>
      <x:c r="I209" s="3"/>
      <x:c r="J209" s="3" t="str">
        <x:v>gross only; actual fees not recorded</x:v>
      </x:c>
      <x:c r="K209" s="3" t="str">
        <x:v>take profit</x:v>
      </x:c>
      <x:c r="L209" s="3" t="str">
        <x:v>production</x:v>
      </x:c>
      <x:c r="M209" s="10" t="n">
        <x:v>827</x:v>
      </x:c>
      <x:c r="N209" s="3" t="str">
        <x:v>USDT</x:v>
      </x:c>
      <x:c r="O209" s="9"/>
      <x:c r="P209" s="3"/>
      <x:c r="Q209" s="3"/>
      <x:c r="R209" s="3"/>
      <x:c r="S209" s="3"/>
      <x:c r="T209" s="3"/>
      <x:c r="U209" s="3"/>
      <x:c r="V209" s="10" t="n">
        <x:v>1789416758</x:v>
      </x:c>
      <x:c r="W209" s="3" t="str">
        <x:v>{"side": "SELL", "symbol": "AVAXUSDT", "order_id": 5735408221, "quantity": "3.93000000", "price": "7.656", "quote_amount": "30.08808000", "quote_asset": "USDT", "reason": "take profit", "estimated_pnl_usdt": "0.18078000000", "environment": "production", "recorded_at": 1789416758}</x:v>
      </x:c>
      <x:c r="X209" s="10" t="n">
        <x:v>0</x:v>
      </x:c>
      <x:c r="Y209" s="8" t="n">
        <x:v>46279.84210648148</x:v>
      </x:c>
      <x:c r="Z209" s="3" t="str">
        <x:v>2026-09-14</x:v>
      </x:c>
      <x:c r="AA209" s="3" t="str">
        <x:v>ACTIVE / POSITIVE</x:v>
      </x:c>
      <x:c r="AB209" s="8" t="n">
        <x:v>46279.95752314815</x:v>
      </x:c>
      <x:c r="AC209" s="10" t="n">
        <x:v>828</x:v>
      </x:c>
      <x:c r="AD209" s="3"/>
      <x:c r="AE209" s="3"/>
      <x:c r="AF209" s="9"/>
      <x:c r="AG209" s="3"/>
      <x:c r="AH209" s="9"/>
      <x:c r="AI209" s="9"/>
      <x:c r="AJ209" s="3"/>
      <x:c r="AK209" s="9"/>
      <x:c r="AL209" s="3"/>
      <x:c r="AM209" s="3"/>
    </x:row>
    <x:row r="210" ht="21" customHeight="1">
      <x:c r="A210" s="8" t="n">
        <x:v>46279.96722222222</x:v>
      </x:c>
      <x:c r="B210" s="3" t="str">
        <x:v>DOGEUSDT</x:v>
      </x:c>
      <x:c r="C210" s="3" t="str">
        <x:v>SELL</x:v>
      </x:c>
      <x:c r="D210" s="3" t="str">
        <x:v>14930914010</x:v>
      </x:c>
      <x:c r="E210" s="9" t="n">
        <x:v>353</x:v>
      </x:c>
      <x:c r="F210" s="9" t="n">
        <x:v>0.08525</x:v>
      </x:c>
      <x:c r="G210" s="9" t="n">
        <x:v>30.09325</x:v>
      </x:c>
      <x:c r="H210" s="9" t="n">
        <x:v>0.16944</x:v>
      </x:c>
      <x:c r="I210" s="3"/>
      <x:c r="J210" s="3" t="str">
        <x:v>gross only; actual fees not recorded</x:v>
      </x:c>
      <x:c r="K210" s="3" t="str">
        <x:v>take profit</x:v>
      </x:c>
      <x:c r="L210" s="3" t="str">
        <x:v>production</x:v>
      </x:c>
      <x:c r="M210" s="10" t="n">
        <x:v>828</x:v>
      </x:c>
      <x:c r="N210" s="3" t="str">
        <x:v>USDT</x:v>
      </x:c>
      <x:c r="O210" s="9"/>
      <x:c r="P210" s="3"/>
      <x:c r="Q210" s="3"/>
      <x:c r="R210" s="3"/>
      <x:c r="S210" s="3"/>
      <x:c r="T210" s="3"/>
      <x:c r="U210" s="3"/>
      <x:c r="V210" s="10" t="n">
        <x:v>1789416768</x:v>
      </x:c>
      <x:c r="W210" s="3" t="str">
        <x:v>{"side": "SELL", "symbol": "DOGEUSDT", "order_id": 14930914010, "quantity": "353.00000000", "price": "0.08525", "quote_amount": "30.09325000", "quote_asset": "USDT", "reason": "take profit", "estimated_pnl_usdt": "0.1694400000000", "environment": "production", "recorded_at": 1789416768}</x:v>
      </x:c>
      <x:c r="X210" s="10" t="n">
        <x:v>0</x:v>
      </x:c>
      <x:c r="Y210" s="8" t="n">
        <x:v>46279.84222222222</x:v>
      </x:c>
      <x:c r="Z210" s="3" t="str">
        <x:v>2026-09-14</x:v>
      </x:c>
      <x:c r="AA210" s="3" t="str">
        <x:v>ACTIVE / POSITIVE</x:v>
      </x:c>
      <x:c r="AB210" s="8" t="n">
        <x:v>46279.95752314815</x:v>
      </x:c>
      <x:c r="AC210" s="10" t="n">
        <x:v>838</x:v>
      </x:c>
      <x:c r="AD210" s="3"/>
      <x:c r="AE210" s="3"/>
      <x:c r="AF210" s="9"/>
      <x:c r="AG210" s="3"/>
      <x:c r="AH210" s="9"/>
      <x:c r="AI210" s="9"/>
      <x:c r="AJ210" s="3"/>
      <x:c r="AK210" s="9"/>
      <x:c r="AL210" s="3"/>
      <x:c r="AM210" s="3"/>
    </x:row>
    <x:row r="211" ht="21" customHeight="1">
      <x:c r="A211" s="8" t="n">
        <x:v>46279.96722222222</x:v>
      </x:c>
      <x:c r="B211" s="3" t="str">
        <x:v>WLDUSDT</x:v>
      </x:c>
      <x:c r="C211" s="3" t="str">
        <x:v>SELL</x:v>
      </x:c>
      <x:c r="D211" s="3" t="str">
        <x:v>4153966656</x:v>
      </x:c>
      <x:c r="E211" s="9" t="n">
        <x:v>76.4</x:v>
      </x:c>
      <x:c r="F211" s="9" t="n">
        <x:v>0.3943</x:v>
      </x:c>
      <x:c r="G211" s="9" t="n">
        <x:v>30.12452</x:v>
      </x:c>
      <x:c r="H211" s="9" t="n">
        <x:v>0.19864</x:v>
      </x:c>
      <x:c r="I211" s="3"/>
      <x:c r="J211" s="3" t="str">
        <x:v>gross only; actual fees not recorded</x:v>
      </x:c>
      <x:c r="K211" s="3" t="str">
        <x:v>take profit</x:v>
      </x:c>
      <x:c r="L211" s="3" t="str">
        <x:v>production</x:v>
      </x:c>
      <x:c r="M211" s="10" t="n">
        <x:v>829</x:v>
      </x:c>
      <x:c r="N211" s="3" t="str">
        <x:v>USDT</x:v>
      </x:c>
      <x:c r="O211" s="9"/>
      <x:c r="P211" s="3"/>
      <x:c r="Q211" s="3"/>
      <x:c r="R211" s="3"/>
      <x:c r="S211" s="3"/>
      <x:c r="T211" s="3"/>
      <x:c r="U211" s="3"/>
      <x:c r="V211" s="10" t="n">
        <x:v>1789416768</x:v>
      </x:c>
      <x:c r="W211" s="3" t="str">
        <x:v>{"side": "SELL", "symbol": "WLDUSDT", "order_id": 4153966656, "quantity": "76.40000000", "price": "0.3943", "quote_amount": "30.12452000", "quote_asset": "USDT", "reason": "take profit", "estimated_pnl_usdt": "0.198640000000", "environment": "production", "recorded_at": 1789416768}</x:v>
      </x:c>
      <x:c r="X211" s="10" t="n">
        <x:v>0</x:v>
      </x:c>
      <x:c r="Y211" s="8" t="n">
        <x:v>46279.84222222222</x:v>
      </x:c>
      <x:c r="Z211" s="3" t="str">
        <x:v>2026-09-14</x:v>
      </x:c>
      <x:c r="AA211" s="3" t="str">
        <x:v>ACTIVE / POSITIVE</x:v>
      </x:c>
      <x:c r="AB211" s="8" t="n">
        <x:v>46279.95752314815</x:v>
      </x:c>
      <x:c r="AC211" s="10" t="n">
        <x:v>838</x:v>
      </x:c>
      <x:c r="AD211" s="3"/>
      <x:c r="AE211" s="3"/>
      <x:c r="AF211" s="9"/>
      <x:c r="AG211" s="3"/>
      <x:c r="AH211" s="9"/>
      <x:c r="AI211" s="9"/>
      <x:c r="AJ211" s="3"/>
      <x:c r="AK211" s="9"/>
      <x:c r="AL211" s="3"/>
      <x:c r="AM211" s="3"/>
    </x:row>
    <x:row r="212" ht="21" customHeight="1">
      <x:c r="A212" s="8" t="n">
        <x:v>46279.9672337963</x:v>
      </x:c>
      <x:c r="B212" s="3" t="str">
        <x:v>SOLUSDT</x:v>
      </x:c>
      <x:c r="C212" s="3" t="str">
        <x:v>SELL</x:v>
      </x:c>
      <x:c r="D212" s="3" t="str">
        <x:v>17800609650</x:v>
      </x:c>
      <x:c r="E212" s="9" t="n">
        <x:v>0.29</x:v>
      </x:c>
      <x:c r="F212" s="9" t="n">
        <x:v>103.89</x:v>
      </x:c>
      <x:c r="G212" s="9" t="n">
        <x:v>30.1281</x:v>
      </x:c>
      <x:c r="H212" s="9" t="n">
        <x:v>0.1682</x:v>
      </x:c>
      <x:c r="I212" s="3"/>
      <x:c r="J212" s="3" t="str">
        <x:v>gross only; actual fees not recorded</x:v>
      </x:c>
      <x:c r="K212" s="3" t="str">
        <x:v>take profit</x:v>
      </x:c>
      <x:c r="L212" s="3" t="str">
        <x:v>production</x:v>
      </x:c>
      <x:c r="M212" s="10" t="n">
        <x:v>830</x:v>
      </x:c>
      <x:c r="N212" s="3" t="str">
        <x:v>USDT</x:v>
      </x:c>
      <x:c r="O212" s="9"/>
      <x:c r="P212" s="3"/>
      <x:c r="Q212" s="3"/>
      <x:c r="R212" s="3"/>
      <x:c r="S212" s="3"/>
      <x:c r="T212" s="3"/>
      <x:c r="U212" s="3"/>
      <x:c r="V212" s="10" t="n">
        <x:v>1789416769</x:v>
      </x:c>
      <x:c r="W212" s="3" t="str">
        <x:v>{"side": "SELL", "symbol": "SOLUSDT", "order_id": 17800609650, "quantity": "0.29000000", "price": "103.89", "quote_amount": "30.12810000", "quote_asset": "USDT", "reason": "take profit", "estimated_pnl_usdt": "0.1682000000", "environment": "production", "recorded_at": 1789416769}</x:v>
      </x:c>
      <x:c r="X212" s="10" t="n">
        <x:v>0</x:v>
      </x:c>
      <x:c r="Y212" s="8" t="n">
        <x:v>46279.8422337963</x:v>
      </x:c>
      <x:c r="Z212" s="3" t="str">
        <x:v>2026-09-14</x:v>
      </x:c>
      <x:c r="AA212" s="3" t="str">
        <x:v>ACTIVE / POSITIVE</x:v>
      </x:c>
      <x:c r="AB212" s="8" t="n">
        <x:v>46279.95752314815</x:v>
      </x:c>
      <x:c r="AC212" s="10" t="n">
        <x:v>839</x:v>
      </x:c>
      <x:c r="AD212" s="3"/>
      <x:c r="AE212" s="3"/>
      <x:c r="AF212" s="9"/>
      <x:c r="AG212" s="3"/>
      <x:c r="AH212" s="9"/>
      <x:c r="AI212" s="9"/>
      <x:c r="AJ212" s="3"/>
      <x:c r="AK212" s="9"/>
      <x:c r="AL212" s="3"/>
      <x:c r="AM212" s="3"/>
    </x:row>
    <x:row r="213" ht="21" customHeight="1">
      <x:c r="A213" s="8" t="n">
        <x:v>46279.968981481485</x:v>
      </x:c>
      <x:c r="B213" s="3" t="str">
        <x:v>SUIUSDT</x:v>
      </x:c>
      <x:c r="C213" s="3" t="str">
        <x:v>BUY</x:v>
      </x:c>
      <x:c r="D213" s="3" t="str">
        <x:v>8853533904</x:v>
      </x:c>
      <x:c r="E213" s="9" t="n">
        <x:v>40.4</x:v>
      </x:c>
      <x:c r="F213" s="9" t="n">
        <x:v>0.7419</x:v>
      </x:c>
      <x:c r="G213" s="9" t="n">
        <x:v>29.97276</x:v>
      </x:c>
      <x:c r="H213" s="9"/>
      <x:c r="I213" s="3"/>
      <x:c r="J213" s="3" t="str">
        <x:v>gross only; actual fees not recorded</x:v>
      </x:c>
      <x:c r="K213" s="3" t="str">
        <x:v>strategy buy signal</x:v>
      </x:c>
      <x:c r="L213" s="3" t="str">
        <x:v>production</x:v>
      </x:c>
      <x:c r="M213" s="10" t="n">
        <x:v>831</x:v>
      </x:c>
      <x:c r="N213" s="3" t="str">
        <x:v>USDT</x:v>
      </x:c>
      <x:c r="O213" s="9" t="n">
        <x:v>1789416899999</x:v>
      </x:c>
      <x:c r="P213" s="4" t="b">
        <x:v>1</x:v>
      </x:c>
      <x:c r="Q213" s="4" t="b">
        <x:v>0</x:v>
      </x:c>
      <x:c r="R213" s="4" t="b">
        <x:v>1</x:v>
      </x:c>
      <x:c r="S213" s="4" t="b">
        <x:v>1</x:v>
      </x:c>
      <x:c r="T213" s="4" t="b">
        <x:v>1</x:v>
      </x:c>
      <x:c r="U213" s="4" t="b">
        <x:v>1</x:v>
      </x:c>
      <x:c r="V213" s="10" t="n">
        <x:v>1789416920</x:v>
      </x:c>
      <x:c r="W213" s="3" t="str">
        <x:v>{"side": "BUY", "symbol": "SUIUSDT", "order_id": 8853533904, "quantity": "40.40000000", "price": "0.7419", "quote_amount": "29.97276000", "quote_asset": "USDT", "signal_candle_close_time": 1789416899999, "reason": "strategy buy signal", "entry_conditions": {"rsi_recovered": true, "near_support": false, "trend_ok": true, "reward_ok": true, "stop_risk_ok": true, "momentum_ok": true}, "environment": "production", "recorded_at": 1789416920}</x:v>
      </x:c>
      <x:c r="X213" s="10" t="n">
        <x:v>0</x:v>
      </x:c>
      <x:c r="Y213" s="8" t="n">
        <x:v>46279.843981481485</x:v>
      </x:c>
      <x:c r="Z213" s="3" t="str">
        <x:v>2026-09-14</x:v>
      </x:c>
      <x:c r="AA213" s="3" t="str">
        <x:v>ACTIVE / POSITIVE</x:v>
      </x:c>
      <x:c r="AB213" s="8" t="n">
        <x:v>46279.968125</x:v>
      </x:c>
      <x:c r="AC213" s="10" t="n">
        <x:v>74</x:v>
      </x:c>
      <x:c r="AD213" s="3" t="str">
        <x:v>near_support</x:v>
      </x:c>
      <x:c r="AE213" s="3"/>
      <x:c r="AF213" s="9"/>
      <x:c r="AG213" s="3"/>
      <x:c r="AH213" s="9"/>
      <x:c r="AI213" s="9"/>
      <x:c r="AJ213" s="3"/>
      <x:c r="AK213" s="9"/>
      <x:c r="AL213" s="3"/>
      <x:c r="AM213" s="3"/>
    </x:row>
    <x:row r="214" ht="21" customHeight="1">
      <x:c r="A214" s="8" t="n">
        <x:v>46279.96900462963</x:v>
      </x:c>
      <x:c r="B214" s="3" t="str">
        <x:v>ADAUSDT</x:v>
      </x:c>
      <x:c r="C214" s="3" t="str">
        <x:v>BUY</x:v>
      </x:c>
      <x:c r="D214" s="3" t="str">
        <x:v>8788043200</x:v>
      </x:c>
      <x:c r="E214" s="9" t="n">
        <x:v>140.2</x:v>
      </x:c>
      <x:c r="F214" s="9" t="n">
        <x:v>0.2139</x:v>
      </x:c>
      <x:c r="G214" s="9" t="n">
        <x:v>29.98878</x:v>
      </x:c>
      <x:c r="H214" s="9"/>
      <x:c r="I214" s="3"/>
      <x:c r="J214" s="3" t="str">
        <x:v>gross only; actual fees not recorded</x:v>
      </x:c>
      <x:c r="K214" s="3" t="str">
        <x:v>strategy buy signal</x:v>
      </x:c>
      <x:c r="L214" s="3" t="str">
        <x:v>production</x:v>
      </x:c>
      <x:c r="M214" s="10" t="n">
        <x:v>832</x:v>
      </x:c>
      <x:c r="N214" s="3" t="str">
        <x:v>USDT</x:v>
      </x:c>
      <x:c r="O214" s="9" t="n">
        <x:v>1789416899999</x:v>
      </x:c>
      <x:c r="P214" s="4" t="b">
        <x:v>1</x:v>
      </x:c>
      <x:c r="Q214" s="4" t="b">
        <x:v>0</x:v>
      </x:c>
      <x:c r="R214" s="4" t="b">
        <x:v>1</x:v>
      </x:c>
      <x:c r="S214" s="4" t="b">
        <x:v>1</x:v>
      </x:c>
      <x:c r="T214" s="4" t="b">
        <x:v>1</x:v>
      </x:c>
      <x:c r="U214" s="4" t="b">
        <x:v>1</x:v>
      </x:c>
      <x:c r="V214" s="10" t="n">
        <x:v>1789416922</x:v>
      </x:c>
      <x:c r="W214" s="3" t="str">
        <x:v>{"side": "BUY", "symbol": "ADAUSDT", "order_id": 8788043200, "quantity": "140.20000000", "price": "0.2139", "quote_amount": "29.98878000", "quote_asset": "USDT", "signal_candle_close_time": 1789416899999, "reason": "strategy buy signal", "entry_conditions": {"rsi_recovered": true, "near_support": false, "trend_ok": true, "reward_ok": true, "stop_risk_ok": true, "momentum_ok": true}, "environment": "production", "recorded_at": 1789416922}</x:v>
      </x:c>
      <x:c r="X214" s="10" t="n">
        <x:v>0</x:v>
      </x:c>
      <x:c r="Y214" s="8" t="n">
        <x:v>46279.84400462963</x:v>
      </x:c>
      <x:c r="Z214" s="3" t="str">
        <x:v>2026-09-14</x:v>
      </x:c>
      <x:c r="AA214" s="3" t="str">
        <x:v>ACTIVE / POSITIVE</x:v>
      </x:c>
      <x:c r="AB214" s="8" t="n">
        <x:v>46279.968125</x:v>
      </x:c>
      <x:c r="AC214" s="10" t="n">
        <x:v>76</x:v>
      </x:c>
      <x:c r="AD214" s="3" t="str">
        <x:v>near_support</x:v>
      </x:c>
      <x:c r="AE214" s="3"/>
      <x:c r="AF214" s="9"/>
      <x:c r="AG214" s="3"/>
      <x:c r="AH214" s="9"/>
      <x:c r="AI214" s="9"/>
      <x:c r="AJ214" s="3"/>
      <x:c r="AK214" s="9"/>
      <x:c r="AL214" s="3"/>
      <x:c r="AM214" s="3"/>
    </x:row>
    <x:row r="215" ht="21" customHeight="1">
      <x:c r="A215" s="8" t="n">
        <x:v>46279.96905092592</x:v>
      </x:c>
      <x:c r="B215" s="3" t="str">
        <x:v>WLDUSDT</x:v>
      </x:c>
      <x:c r="C215" s="3" t="str">
        <x:v>BUY</x:v>
      </x:c>
      <x:c r="D215" s="3" t="str">
        <x:v>4153975657</x:v>
      </x:c>
      <x:c r="E215" s="9" t="n">
        <x:v>75.8</x:v>
      </x:c>
      <x:c r="F215" s="9" t="n">
        <x:v>0.3953</x:v>
      </x:c>
      <x:c r="G215" s="9" t="n">
        <x:v>29.96374</x:v>
      </x:c>
      <x:c r="H215" s="9"/>
      <x:c r="I215" s="3"/>
      <x:c r="J215" s="3" t="str">
        <x:v>gross only; actual fees not recorded</x:v>
      </x:c>
      <x:c r="K215" s="3" t="str">
        <x:v>strategy buy signal</x:v>
      </x:c>
      <x:c r="L215" s="3" t="str">
        <x:v>production</x:v>
      </x:c>
      <x:c r="M215" s="10" t="n">
        <x:v>833</x:v>
      </x:c>
      <x:c r="N215" s="3" t="str">
        <x:v>USDT</x:v>
      </x:c>
      <x:c r="O215" s="9" t="n">
        <x:v>1789416899999</x:v>
      </x:c>
      <x:c r="P215" s="4" t="b">
        <x:v>1</x:v>
      </x:c>
      <x:c r="Q215" s="4" t="b">
        <x:v>0</x:v>
      </x:c>
      <x:c r="R215" s="4" t="b">
        <x:v>1</x:v>
      </x:c>
      <x:c r="S215" s="4" t="b">
        <x:v>1</x:v>
      </x:c>
      <x:c r="T215" s="4" t="b">
        <x:v>1</x:v>
      </x:c>
      <x:c r="U215" s="4" t="b">
        <x:v>1</x:v>
      </x:c>
      <x:c r="V215" s="10" t="n">
        <x:v>1789416926</x:v>
      </x:c>
      <x:c r="W215" s="3" t="str">
        <x:v>{"side": "BUY", "symbol": "WLDUSDT", "order_id": 4153975657, "quantity": "75.80000000", "price": "0.3953", "quote_amount": "29.96374000", "quote_asset": "USDT", "signal_candle_close_time": 1789416899999, "reason": "strategy buy signal", "entry_conditions": {"rsi_recovered": true, "near_support": false, "trend_ok": true, "reward_ok": true, "stop_risk_ok": true, "momentum_ok": true}, "environment": "production", "recorded_at": 1789416926}</x:v>
      </x:c>
      <x:c r="X215" s="10" t="n">
        <x:v>0</x:v>
      </x:c>
      <x:c r="Y215" s="8" t="n">
        <x:v>46279.84405092592</x:v>
      </x:c>
      <x:c r="Z215" s="3" t="str">
        <x:v>2026-09-14</x:v>
      </x:c>
      <x:c r="AA215" s="3" t="str">
        <x:v>ACTIVE / POSITIVE</x:v>
      </x:c>
      <x:c r="AB215" s="8" t="n">
        <x:v>46279.968125</x:v>
      </x:c>
      <x:c r="AC215" s="10" t="n">
        <x:v>80</x:v>
      </x:c>
      <x:c r="AD215" s="3" t="str">
        <x:v>near_support</x:v>
      </x:c>
      <x:c r="AE215" s="3"/>
      <x:c r="AF215" s="9"/>
      <x:c r="AG215" s="3"/>
      <x:c r="AH215" s="9"/>
      <x:c r="AI215" s="9"/>
      <x:c r="AJ215" s="3"/>
      <x:c r="AK215" s="9"/>
      <x:c r="AL215" s="3"/>
      <x:c r="AM215" s="3"/>
    </x:row>
    <x:row r="216" ht="21" customHeight="1">
      <x:c r="A216" s="8" t="n">
        <x:v>46279.970405092594</x:v>
      </x:c>
      <x:c r="B216" s="3" t="str">
        <x:v>WLDUSDT</x:v>
      </x:c>
      <x:c r="C216" s="3" t="str">
        <x:v>SELL</x:v>
      </x:c>
      <x:c r="D216" s="3" t="str">
        <x:v>4153983818</x:v>
      </x:c>
      <x:c r="E216" s="9" t="n">
        <x:v>75.7</x:v>
      </x:c>
      <x:c r="F216" s="9" t="n">
        <x:v>0.3981</x:v>
      </x:c>
      <x:c r="G216" s="9" t="n">
        <x:v>30.13617</x:v>
      </x:c>
      <x:c r="H216" s="9" t="n">
        <x:v>0.21196</x:v>
      </x:c>
      <x:c r="I216" s="3"/>
      <x:c r="J216" s="3" t="str">
        <x:v>gross only; actual fees not recorded</x:v>
      </x:c>
      <x:c r="K216" s="3" t="str">
        <x:v>take profit</x:v>
      </x:c>
      <x:c r="L216" s="3" t="str">
        <x:v>production</x:v>
      </x:c>
      <x:c r="M216" s="10" t="n">
        <x:v>834</x:v>
      </x:c>
      <x:c r="N216" s="3" t="str">
        <x:v>USDT</x:v>
      </x:c>
      <x:c r="O216" s="9"/>
      <x:c r="P216" s="3"/>
      <x:c r="Q216" s="3"/>
      <x:c r="R216" s="3"/>
      <x:c r="S216" s="3"/>
      <x:c r="T216" s="3"/>
      <x:c r="U216" s="3"/>
      <x:c r="V216" s="10" t="n">
        <x:v>1789417043</x:v>
      </x:c>
      <x:c r="W216" s="3" t="str">
        <x:v>{"side": "SELL", "symbol": "WLDUSDT", "order_id": 4153983818, "quantity": "75.70000000", "price": "0.3981", "quote_amount": "30.13617000", "quote_asset": "USDT", "reason": "take profit", "estimated_pnl_usdt": "0.211960000000", "environment": "production", "recorded_at": 1789417043}</x:v>
      </x:c>
      <x:c r="X216" s="10" t="n">
        <x:v>0</x:v>
      </x:c>
      <x:c r="Y216" s="8" t="n">
        <x:v>46279.845405092594</x:v>
      </x:c>
      <x:c r="Z216" s="3" t="str">
        <x:v>2026-09-14</x:v>
      </x:c>
      <x:c r="AA216" s="3" t="str">
        <x:v>ACTIVE / POSITIVE</x:v>
      </x:c>
      <x:c r="AB216" s="8" t="n">
        <x:v>46279.968125</x:v>
      </x:c>
      <x:c r="AC216" s="10" t="n">
        <x:v>197</x:v>
      </x:c>
      <x:c r="AD216" s="3"/>
      <x:c r="AE216" s="3"/>
      <x:c r="AF216" s="9"/>
      <x:c r="AG216" s="3"/>
      <x:c r="AH216" s="9"/>
      <x:c r="AI216" s="9"/>
      <x:c r="AJ216" s="3"/>
      <x:c r="AK216" s="9"/>
      <x:c r="AL216" s="3"/>
      <x:c r="AM216" s="3"/>
    </x:row>
    <x:row r="217" ht="21" customHeight="1">
      <x:c r="A217" s="8" t="n">
        <x:v>46279.9709375</x:v>
      </x:c>
      <x:c r="B217" s="3" t="str">
        <x:v>ADAUSDT</x:v>
      </x:c>
      <x:c r="C217" s="3" t="str">
        <x:v>SELL</x:v>
      </x:c>
      <x:c r="D217" s="3" t="str">
        <x:v>8788057283</x:v>
      </x:c>
      <x:c r="E217" s="9" t="n">
        <x:v>140</x:v>
      </x:c>
      <x:c r="F217" s="9" t="n">
        <x:v>0.2152</x:v>
      </x:c>
      <x:c r="G217" s="9" t="n">
        <x:v>30.128</x:v>
      </x:c>
      <x:c r="H217" s="9" t="n">
        <x:v>0.182</x:v>
      </x:c>
      <x:c r="I217" s="3"/>
      <x:c r="J217" s="3" t="str">
        <x:v>gross only; actual fees not recorded</x:v>
      </x:c>
      <x:c r="K217" s="3" t="str">
        <x:v>take profit</x:v>
      </x:c>
      <x:c r="L217" s="3" t="str">
        <x:v>production</x:v>
      </x:c>
      <x:c r="M217" s="10" t="n">
        <x:v>835</x:v>
      </x:c>
      <x:c r="N217" s="3" t="str">
        <x:v>USDT</x:v>
      </x:c>
      <x:c r="O217" s="9"/>
      <x:c r="P217" s="3"/>
      <x:c r="Q217" s="3"/>
      <x:c r="R217" s="3"/>
      <x:c r="S217" s="3"/>
      <x:c r="T217" s="3"/>
      <x:c r="U217" s="3"/>
      <x:c r="V217" s="10" t="n">
        <x:v>1789417089</x:v>
      </x:c>
      <x:c r="W217" s="3" t="str">
        <x:v>{"side": "SELL", "symbol": "ADAUSDT", "order_id": 8788057283, "quantity": "140.00000000", "price": "0.2152", "quote_amount": "30.12800000", "quote_asset": "USDT", "reason": "take profit", "estimated_pnl_usdt": "0.182000000000", "environment": "production", "recorded_at": 1789417089}</x:v>
      </x:c>
      <x:c r="X217" s="10" t="n">
        <x:v>0</x:v>
      </x:c>
      <x:c r="Y217" s="8" t="n">
        <x:v>46279.8459375</x:v>
      </x:c>
      <x:c r="Z217" s="3" t="str">
        <x:v>2026-09-14</x:v>
      </x:c>
      <x:c r="AA217" s="3" t="str">
        <x:v>ACTIVE / POSITIVE</x:v>
      </x:c>
      <x:c r="AB217" s="8" t="n">
        <x:v>46279.968125</x:v>
      </x:c>
      <x:c r="AC217" s="10" t="n">
        <x:v>243</x:v>
      </x:c>
      <x:c r="AD217" s="3"/>
      <x:c r="AE217" s="3"/>
      <x:c r="AF217" s="9"/>
      <x:c r="AG217" s="3"/>
      <x:c r="AH217" s="9"/>
      <x:c r="AI217" s="9"/>
      <x:c r="AJ217" s="3"/>
      <x:c r="AK217" s="9"/>
      <x:c r="AL217" s="3"/>
      <x:c r="AM217" s="3"/>
    </x:row>
    <x:row r="218" ht="21" customHeight="1">
      <x:c r="A218" s="8" t="n">
        <x:v>46279.97101851852</x:v>
      </x:c>
      <x:c r="B218" s="3" t="str">
        <x:v>SUIUSDT</x:v>
      </x:c>
      <x:c r="C218" s="3" t="str">
        <x:v>SELL</x:v>
      </x:c>
      <x:c r="D218" s="3" t="str">
        <x:v>8853557599</x:v>
      </x:c>
      <x:c r="E218" s="9" t="n">
        <x:v>40.4</x:v>
      </x:c>
      <x:c r="F218" s="9" t="n">
        <x:v>0.7461</x:v>
      </x:c>
      <x:c r="G218" s="9" t="n">
        <x:v>30.14244</x:v>
      </x:c>
      <x:c r="H218" s="9" t="n">
        <x:v>0.16968</x:v>
      </x:c>
      <x:c r="I218" s="3"/>
      <x:c r="J218" s="3" t="str">
        <x:v>gross only; actual fees not recorded</x:v>
      </x:c>
      <x:c r="K218" s="3" t="str">
        <x:v>take profit</x:v>
      </x:c>
      <x:c r="L218" s="3" t="str">
        <x:v>production</x:v>
      </x:c>
      <x:c r="M218" s="10" t="n">
        <x:v>836</x:v>
      </x:c>
      <x:c r="N218" s="3" t="str">
        <x:v>USDT</x:v>
      </x:c>
      <x:c r="O218" s="9"/>
      <x:c r="P218" s="3"/>
      <x:c r="Q218" s="3"/>
      <x:c r="R218" s="3"/>
      <x:c r="S218" s="3"/>
      <x:c r="T218" s="3"/>
      <x:c r="U218" s="3"/>
      <x:c r="V218" s="10" t="n">
        <x:v>1789417096</x:v>
      </x:c>
      <x:c r="W218" s="3" t="str">
        <x:v>{"side": "SELL", "symbol": "SUIUSDT", "order_id": 8853557599, "quantity": "40.40000000", "price": "0.7461", "quote_amount": "30.14244000", "quote_asset": "USDT", "reason": "take profit", "estimated_pnl_usdt": "0.169680000000", "environment": "production", "recorded_at": 1789417096}</x:v>
      </x:c>
      <x:c r="X218" s="10" t="n">
        <x:v>0</x:v>
      </x:c>
      <x:c r="Y218" s="8" t="n">
        <x:v>46279.84601851852</x:v>
      </x:c>
      <x:c r="Z218" s="3" t="str">
        <x:v>2026-09-14</x:v>
      </x:c>
      <x:c r="AA218" s="3" t="str">
        <x:v>ACTIVE / POSITIVE</x:v>
      </x:c>
      <x:c r="AB218" s="8" t="n">
        <x:v>46279.968125</x:v>
      </x:c>
      <x:c r="AC218" s="10" t="n">
        <x:v>250</x:v>
      </x:c>
      <x:c r="AD218" s="3"/>
      <x:c r="AE218" s="3"/>
      <x:c r="AF218" s="9"/>
      <x:c r="AG218" s="3"/>
      <x:c r="AH218" s="9"/>
      <x:c r="AI218" s="9"/>
      <x:c r="AJ218" s="3"/>
      <x:c r="AK218" s="9"/>
      <x:c r="AL218" s="3"/>
      <x:c r="AM218" s="3"/>
    </x:row>
    <x:row r="219" ht="21" customHeight="1">
      <x:c r="A219" s="8" t="n">
        <x:v>46279.97237268519</x:v>
      </x:c>
      <x:c r="B219" s="3" t="str">
        <x:v>TRUMPUSDT</x:v>
      </x:c>
      <x:c r="C219" s="3" t="str">
        <x:v>BUY</x:v>
      </x:c>
      <x:c r="D219" s="3" t="str">
        <x:v>2083549779</x:v>
      </x:c>
      <x:c r="E219" s="9" t="n">
        <x:v>14.584</x:v>
      </x:c>
      <x:c r="F219" s="9" t="n">
        <x:v>2.057</x:v>
      </x:c>
      <x:c r="G219" s="9" t="n">
        <x:v>29.999288</x:v>
      </x:c>
      <x:c r="H219" s="9"/>
      <x:c r="I219" s="3"/>
      <x:c r="J219" s="3" t="str">
        <x:v>gross only; actual fees not recorded</x:v>
      </x:c>
      <x:c r="K219" s="3" t="str">
        <x:v>strategy buy signal</x:v>
      </x:c>
      <x:c r="L219" s="3" t="str">
        <x:v>production</x:v>
      </x:c>
      <x:c r="M219" s="10" t="n">
        <x:v>837</x:v>
      </x:c>
      <x:c r="N219" s="3" t="str">
        <x:v>USDT</x:v>
      </x:c>
      <x:c r="O219" s="9" t="n">
        <x:v>1789417199999</x:v>
      </x:c>
      <x:c r="P219" s="4" t="b">
        <x:v>1</x:v>
      </x:c>
      <x:c r="Q219" s="4" t="b">
        <x:v>0</x:v>
      </x:c>
      <x:c r="R219" s="4" t="b">
        <x:v>1</x:v>
      </x:c>
      <x:c r="S219" s="4" t="b">
        <x:v>1</x:v>
      </x:c>
      <x:c r="T219" s="4" t="b">
        <x:v>1</x:v>
      </x:c>
      <x:c r="U219" s="4" t="b">
        <x:v>1</x:v>
      </x:c>
      <x:c r="V219" s="10" t="n">
        <x:v>1789417213</x:v>
      </x:c>
      <x:c r="W219" s="3" t="str">
        <x:v>{"side": "BUY", "symbol": "TRUMPUSDT", "order_id": 2083549779, "quantity": "14.58400000", "price": "2.057", "quote_amount": "29.99928800", "quote_asset": "USDT", "signal_candle_close_time": 1789417199999, "reason": "strategy buy signal", "entry_conditions": {"rsi_recovered": true, "near_support": false, "trend_ok": true, "reward_ok": true, "stop_risk_ok": true, "momentum_ok": true}, "environment": "production", "recorded_at": 1789417213}</x:v>
      </x:c>
      <x:c r="X219" s="10" t="n">
        <x:v>0</x:v>
      </x:c>
      <x:c r="Y219" s="8" t="n">
        <x:v>46279.84737268519</x:v>
      </x:c>
      <x:c r="Z219" s="3" t="str">
        <x:v>2026-09-14</x:v>
      </x:c>
      <x:c r="AA219" s="3" t="str">
        <x:v>ACTIVE / POSITIVE</x:v>
      </x:c>
      <x:c r="AB219" s="8" t="n">
        <x:v>46279.968125</x:v>
      </x:c>
      <x:c r="AC219" s="10" t="n">
        <x:v>367</x:v>
      </x:c>
      <x:c r="AD219" s="3" t="str">
        <x:v>near_support</x:v>
      </x:c>
      <x:c r="AE219" s="3"/>
      <x:c r="AF219" s="9"/>
      <x:c r="AG219" s="3"/>
      <x:c r="AH219" s="9"/>
      <x:c r="AI219" s="9"/>
      <x:c r="AJ219" s="3"/>
      <x:c r="AK219" s="9"/>
      <x:c r="AL219" s="3"/>
      <x:c r="AM219" s="3"/>
    </x:row>
    <x:row r="220" ht="21" customHeight="1">
      <x:c r="A220" s="8" t="n">
        <x:v>46280.00037037037</x:v>
      </x:c>
      <x:c r="B220" s="3" t="str">
        <x:v>TRUMPUSDT</x:v>
      </x:c>
      <x:c r="C220" s="3" t="str">
        <x:v>SELL</x:v>
      </x:c>
      <x:c r="D220" s="3" t="str">
        <x:v>2083578364</x:v>
      </x:c>
      <x:c r="E220" s="9" t="n">
        <x:v>14.569</x:v>
      </x:c>
      <x:c r="F220" s="9" t="n">
        <x:v>2.04</x:v>
      </x:c>
      <x:c r="G220" s="9" t="n">
        <x:v>29.72076</x:v>
      </x:c>
      <x:c r="H220" s="9" t="n">
        <x:v>-0.247673</x:v>
      </x:c>
      <x:c r="I220" s="3"/>
      <x:c r="J220" s="3" t="str">
        <x:v>gross only; actual fees not recorded</x:v>
      </x:c>
      <x:c r="K220" s="3" t="str">
        <x:v>stop loss</x:v>
      </x:c>
      <x:c r="L220" s="3" t="str">
        <x:v>production</x:v>
      </x:c>
      <x:c r="M220" s="10" t="n">
        <x:v>838</x:v>
      </x:c>
      <x:c r="N220" s="3" t="str">
        <x:v>USDT</x:v>
      </x:c>
      <x:c r="O220" s="9"/>
      <x:c r="P220" s="3"/>
      <x:c r="Q220" s="3"/>
      <x:c r="R220" s="3"/>
      <x:c r="S220" s="3"/>
      <x:c r="T220" s="3"/>
      <x:c r="U220" s="3"/>
      <x:c r="V220" s="10" t="n">
        <x:v>1789419632</x:v>
      </x:c>
      <x:c r="W220" s="3" t="str">
        <x:v>{"side": "SELL", "symbol": "TRUMPUSDT", "order_id": 2083578364, "quantity": "14.56900000", "price": "2.04", "quote_amount": "29.72076000", "quote_asset": "USDT", "reason": "stop loss", "estimated_pnl_usdt": "-0.24767300000", "environment": "production", "recorded_at": 1789419632}</x:v>
      </x:c>
      <x:c r="X220" s="10" t="n">
        <x:v>0</x:v>
      </x:c>
      <x:c r="Y220" s="8" t="n">
        <x:v>46279.87537037037</x:v>
      </x:c>
      <x:c r="Z220" s="3" t="str">
        <x:v>2026-09-15</x:v>
      </x:c>
      <x:c r="AA220" s="3" t="str">
        <x:v>ACTIVE / POSITIVE</x:v>
      </x:c>
      <x:c r="AB220" s="8" t="n">
        <x:v>46280.000231481485</x:v>
      </x:c>
      <x:c r="AC220" s="10" t="n">
        <x:v>12</x:v>
      </x:c>
      <x:c r="AD220" s="3"/>
      <x:c r="AE220" s="3"/>
      <x:c r="AF220" s="9"/>
      <x:c r="AG220" s="3"/>
      <x:c r="AH220" s="9"/>
      <x:c r="AI220" s="9"/>
      <x:c r="AJ220" s="3"/>
      <x:c r="AK220" s="9"/>
      <x:c r="AL220" s="3"/>
      <x:c r="AM220" s="3"/>
    </x:row>
    <x:row r="221" ht="21" customHeight="1">
      <x:c r="A221" s="8" t="n">
        <x:v>46280.059166666666</x:v>
      </x:c>
      <x:c r="B221" s="3" t="str">
        <x:v>AVAXUSDT</x:v>
      </x:c>
      <x:c r="C221" s="3" t="str">
        <x:v>BUY</x:v>
      </x:c>
      <x:c r="D221" s="3" t="str">
        <x:v>5735699785</x:v>
      </x:c>
      <x:c r="E221" s="9" t="n">
        <x:v>3.92</x:v>
      </x:c>
      <x:c r="F221" s="9" t="n">
        <x:v>7.638</x:v>
      </x:c>
      <x:c r="G221" s="9" t="n">
        <x:v>29.94096</x:v>
      </x:c>
      <x:c r="H221" s="9"/>
      <x:c r="I221" s="3"/>
      <x:c r="J221" s="3" t="str">
        <x:v>gross only; actual fees not recorded</x:v>
      </x:c>
      <x:c r="K221" s="3" t="str">
        <x:v>strategy buy signal</x:v>
      </x:c>
      <x:c r="L221" s="3" t="str">
        <x:v>production</x:v>
      </x:c>
      <x:c r="M221" s="10" t="n">
        <x:v>839</x:v>
      </x:c>
      <x:c r="N221" s="3" t="str">
        <x:v>USDT</x:v>
      </x:c>
      <x:c r="O221" s="9" t="n">
        <x:v>1789424699999</x:v>
      </x:c>
      <x:c r="P221" s="4" t="b">
        <x:v>1</x:v>
      </x:c>
      <x:c r="Q221" s="4" t="b">
        <x:v>1</x:v>
      </x:c>
      <x:c r="R221" s="4" t="b">
        <x:v>1</x:v>
      </x:c>
      <x:c r="S221" s="4" t="b">
        <x:v>1</x:v>
      </x:c>
      <x:c r="T221" s="4" t="b">
        <x:v>1</x:v>
      </x:c>
      <x:c r="U221" s="4" t="b">
        <x:v>0</x:v>
      </x:c>
      <x:c r="V221" s="10" t="n">
        <x:v>1789424712</x:v>
      </x:c>
      <x:c r="W221" s="3" t="str">
        <x:v>{"side": "BUY", "symbol": "AVAXUSDT", "order_id": 5735699785, "quantity": "3.92000000", "price": "7.638", "quote_amount": "29.94096000", "quote_asset": "USDT", "signal_candle_close_time": 1789424699999, "reason": "strategy buy signal", "entry_conditions": {"rsi_recovered": true, "near_support": true, "trend_ok": true, "reward_ok": true, "stop_risk_ok": true, "momentum_ok": false}, "environment": "production", "recorded_at": 1789424712}</x:v>
      </x:c>
      <x:c r="X221" s="10" t="n">
        <x:v>0</x:v>
      </x:c>
      <x:c r="Y221" s="8" t="n">
        <x:v>46279.934166666666</x:v>
      </x:c>
      <x:c r="Z221" s="3" t="str">
        <x:v>2026-09-15</x:v>
      </x:c>
      <x:c r="AA221" s="3" t="str">
        <x:v>ACTIVE / POSITIVE</x:v>
      </x:c>
      <x:c r="AB221" s="8" t="n">
        <x:v>46280.05359953704</x:v>
      </x:c>
      <x:c r="AC221" s="10" t="n">
        <x:v>481</x:v>
      </x:c>
      <x:c r="AD221" s="3" t="str">
        <x:v>momentum_ok</x:v>
      </x:c>
      <x:c r="AE221" s="3"/>
      <x:c r="AF221" s="9"/>
      <x:c r="AG221" s="3"/>
      <x:c r="AH221" s="9"/>
      <x:c r="AI221" s="9"/>
      <x:c r="AJ221" s="3"/>
      <x:c r="AK221" s="9"/>
      <x:c r="AL221" s="3"/>
      <x:c r="AM221" s="3"/>
    </x:row>
    <x:row r="222" ht="21" customHeight="1">
      <x:c r="A222" s="8" t="n">
        <x:v>46280.104583333334</x:v>
      </x:c>
      <x:c r="B222" s="3" t="str">
        <x:v>AVAXUSDT</x:v>
      </x:c>
      <x:c r="C222" s="3" t="str">
        <x:v>SELL</x:v>
      </x:c>
      <x:c r="D222" s="3" t="str">
        <x:v>5735762652</x:v>
      </x:c>
      <x:c r="E222" s="9" t="n">
        <x:v>3.92</x:v>
      </x:c>
      <x:c r="F222" s="9" t="n">
        <x:v>7.588</x:v>
      </x:c>
      <x:c r="G222" s="9" t="n">
        <x:v>29.74496</x:v>
      </x:c>
      <x:c r="H222" s="9" t="n">
        <x:v>-0.196</x:v>
      </x:c>
      <x:c r="I222" s="3"/>
      <x:c r="J222" s="3" t="str">
        <x:v>gross only; actual fees not recorded</x:v>
      </x:c>
      <x:c r="K222" s="3" t="str">
        <x:v>stop loss</x:v>
      </x:c>
      <x:c r="L222" s="3" t="str">
        <x:v>production</x:v>
      </x:c>
      <x:c r="M222" s="10" t="n">
        <x:v>840</x:v>
      </x:c>
      <x:c r="N222" s="3" t="str">
        <x:v>USDT</x:v>
      </x:c>
      <x:c r="O222" s="9"/>
      <x:c r="P222" s="3"/>
      <x:c r="Q222" s="3"/>
      <x:c r="R222" s="3"/>
      <x:c r="S222" s="3"/>
      <x:c r="T222" s="3"/>
      <x:c r="U222" s="3"/>
      <x:c r="V222" s="10" t="n">
        <x:v>1789428636</x:v>
      </x:c>
      <x:c r="W222" s="3" t="str">
        <x:v>{"side": "SELL", "symbol": "AVAXUSDT", "order_id": 5735762652, "quantity": "3.92000000", "price": "7.588", "quote_amount": "29.74496000", "quote_asset": "USDT", "reason": "stop loss", "estimated_pnl_usdt": "-0.19600000000", "environment": "production", "recorded_at": 1789428636}</x:v>
      </x:c>
      <x:c r="X222" s="10" t="n">
        <x:v>0</x:v>
      </x:c>
      <x:c r="Y222" s="8" t="n">
        <x:v>46279.979583333334</x:v>
      </x:c>
      <x:c r="Z222" s="3" t="str">
        <x:v>2026-09-15</x:v>
      </x:c>
      <x:c r="AA222" s="3" t="str">
        <x:v>ACTIVE / POSITIVE</x:v>
      </x:c>
      <x:c r="AB222" s="8" t="n">
        <x:v>46280.09614583333</x:v>
      </x:c>
      <x:c r="AC222" s="10" t="n">
        <x:v>729</x:v>
      </x:c>
      <x:c r="AD222" s="3"/>
      <x:c r="AE222" s="3"/>
      <x:c r="AF222" s="9"/>
      <x:c r="AG222" s="3"/>
      <x:c r="AH222" s="9"/>
      <x:c r="AI222" s="9"/>
      <x:c r="AJ222" s="3"/>
      <x:c r="AK222" s="9"/>
      <x:c r="AL222" s="3"/>
      <x:c r="AM222" s="3"/>
    </x:row>
    <x:row r="223" ht="21" customHeight="1">
      <x:c r="A223" s="8" t="n">
        <x:v>46280.10465277778</x:v>
      </x:c>
      <x:c r="B223" s="3" t="str">
        <x:v>HOLOUSDT</x:v>
      </x:c>
      <x:c r="C223" s="3" t="str">
        <x:v>SELL</x:v>
      </x:c>
      <x:c r="D223" s="3" t="str">
        <x:v>168906033</x:v>
      </x:c>
      <x:c r="E223" s="9" t="n">
        <x:v>503.7</x:v>
      </x:c>
      <x:c r="F223" s="9" t="n">
        <x:v>0.0597</x:v>
      </x:c>
      <x:c r="G223" s="9" t="n">
        <x:v>30.07089</x:v>
      </x:c>
      <x:c r="H223" s="9" t="n">
        <x:v>0.10074</x:v>
      </x:c>
      <x:c r="I223" s="3"/>
      <x:c r="J223" s="3" t="str">
        <x:v>gross only; actual fees not recorded</x:v>
      </x:c>
      <x:c r="K223" s="3" t="str">
        <x:v>RSI sell signal</x:v>
      </x:c>
      <x:c r="L223" s="3" t="str">
        <x:v>production</x:v>
      </x:c>
      <x:c r="M223" s="10" t="n">
        <x:v>841</x:v>
      </x:c>
      <x:c r="N223" s="3" t="str">
        <x:v>USDT</x:v>
      </x:c>
      <x:c r="O223" s="9"/>
      <x:c r="P223" s="3"/>
      <x:c r="Q223" s="3"/>
      <x:c r="R223" s="3"/>
      <x:c r="S223" s="3"/>
      <x:c r="T223" s="3"/>
      <x:c r="U223" s="3"/>
      <x:c r="V223" s="10" t="n">
        <x:v>1789428642</x:v>
      </x:c>
      <x:c r="W223" s="3" t="str">
        <x:v>{"side": "SELL", "symbol": "HOLOUSDT", "order_id": 168906033, "quantity": "503.70000000", "price": "0.0597", "quote_amount": "30.07089000", "quote_asset": "USDT", "reason": "RSI sell signal", "estimated_pnl_usdt": "0.100740000000", "environment": "production", "recorded_at": 1789428642}</x:v>
      </x:c>
      <x:c r="X223" s="10" t="n">
        <x:v>0</x:v>
      </x:c>
      <x:c r="Y223" s="8" t="n">
        <x:v>46279.97965277778</x:v>
      </x:c>
      <x:c r="Z223" s="3" t="str">
        <x:v>2026-09-15</x:v>
      </x:c>
      <x:c r="AA223" s="3" t="str">
        <x:v>ACTIVE / POSITIVE</x:v>
      </x:c>
      <x:c r="AB223" s="8" t="n">
        <x:v>46280.09614583333</x:v>
      </x:c>
      <x:c r="AC223" s="10" t="n">
        <x:v>735</x:v>
      </x:c>
      <x:c r="AD223" s="3"/>
      <x:c r="AE223" s="3"/>
      <x:c r="AF223" s="9"/>
      <x:c r="AG223" s="3"/>
      <x:c r="AH223" s="9"/>
      <x:c r="AI223" s="9"/>
      <x:c r="AJ223" s="3"/>
      <x:c r="AK223" s="9"/>
      <x:c r="AL223" s="3"/>
      <x:c r="AM223" s="3"/>
    </x:row>
    <x:row r="224" ht="21" customHeight="1">
      <x:c r="A224" s="8" t="n">
        <x:v>46280.11824074074</x:v>
      </x:c>
      <x:c r="B224" s="3" t="str">
        <x:v>PUMPUSDT</x:v>
      </x:c>
      <x:c r="C224" s="3" t="str">
        <x:v>BUY</x:v>
      </x:c>
      <x:c r="D224" s="3" t="str">
        <x:v>881028086</x:v>
      </x:c>
      <x:c r="E224" s="9" t="n">
        <x:v>8134</x:v>
      </x:c>
      <x:c r="F224" s="9" t="n">
        <x:v>0.003688</x:v>
      </x:c>
      <x:c r="G224" s="9" t="n">
        <x:v>29.998192</x:v>
      </x:c>
      <x:c r="H224" s="9"/>
      <x:c r="I224" s="3"/>
      <x:c r="J224" s="3" t="str">
        <x:v>gross only; actual fees not recorded</x:v>
      </x:c>
      <x:c r="K224" s="3" t="str">
        <x:v>strategy buy signal</x:v>
      </x:c>
      <x:c r="L224" s="3" t="str">
        <x:v>production</x:v>
      </x:c>
      <x:c r="M224" s="10" t="n">
        <x:v>842</x:v>
      </x:c>
      <x:c r="N224" s="3" t="str">
        <x:v>USDT</x:v>
      </x:c>
      <x:c r="O224" s="9" t="n">
        <x:v>1789429799999</x:v>
      </x:c>
      <x:c r="P224" s="4" t="b">
        <x:v>0</x:v>
      </x:c>
      <x:c r="Q224" s="4" t="b">
        <x:v>1</x:v>
      </x:c>
      <x:c r="R224" s="4" t="b">
        <x:v>1</x:v>
      </x:c>
      <x:c r="S224" s="4" t="b">
        <x:v>1</x:v>
      </x:c>
      <x:c r="T224" s="4" t="b">
        <x:v>1</x:v>
      </x:c>
      <x:c r="U224" s="4" t="b">
        <x:v>1</x:v>
      </x:c>
      <x:c r="V224" s="10" t="n">
        <x:v>1789429816</x:v>
      </x:c>
      <x:c r="W224" s="3" t="str">
        <x:v>{"side": "BUY", "symbol": "PUMPUSDT", "order_id": 881028086, "quantity": "8134.00", "price": "0.003688", "quote_amount": "29.99819200", "quote_asset": "USDT", "signal_candle_close_time": 1789429799999, "reason": "strategy buy signal", "entry_conditions": {"rsi_recovered": false, "near_support": true, "trend_ok": true, "reward_ok": true, "stop_risk_ok": true, "momentum_ok": true}, "environment": "production", "recorded_at": 1789429816}</x:v>
      </x:c>
      <x:c r="X224" s="10" t="n">
        <x:v>0</x:v>
      </x:c>
      <x:c r="Y224" s="8" t="n">
        <x:v>46279.99324074074</x:v>
      </x:c>
      <x:c r="Z224" s="3" t="str">
        <x:v>2026-09-15</x:v>
      </x:c>
      <x:c r="AA224" s="3" t="str">
        <x:v>ACTIVE / POSITIVE</x:v>
      </x:c>
      <x:c r="AB224" s="8" t="n">
        <x:v>46280.11770833333</x:v>
      </x:c>
      <x:c r="AC224" s="10" t="n">
        <x:v>46</x:v>
      </x:c>
      <x:c r="AD224" s="3" t="str">
        <x:v>rsi_recovered</x:v>
      </x:c>
      <x:c r="AE224" s="3"/>
      <x:c r="AF224" s="9"/>
      <x:c r="AG224" s="3"/>
      <x:c r="AH224" s="9"/>
      <x:c r="AI224" s="9"/>
      <x:c r="AJ224" s="3"/>
      <x:c r="AK224" s="9"/>
      <x:c r="AL224" s="3"/>
      <x:c r="AM224" s="3"/>
    </x:row>
    <x:row r="225" ht="21" customHeight="1">
      <x:c r="A225" s="8" t="n">
        <x:v>46280.13136574074</x:v>
      </x:c>
      <x:c r="B225" s="3" t="str">
        <x:v>PUMPUSDT</x:v>
      </x:c>
      <x:c r="C225" s="3" t="str">
        <x:v>SELL</x:v>
      </x:c>
      <x:c r="D225" s="3" t="str">
        <x:v>881041810</x:v>
      </x:c>
      <x:c r="E225" s="9" t="n">
        <x:v>8126</x:v>
      </x:c>
      <x:c r="F225" s="9" t="n">
        <x:v>0.00371</x:v>
      </x:c>
      <x:c r="G225" s="9" t="n">
        <x:v>30.14746</x:v>
      </x:c>
      <x:c r="H225" s="9" t="n">
        <x:v>0.178772</x:v>
      </x:c>
      <x:c r="I225" s="3"/>
      <x:c r="J225" s="3" t="str">
        <x:v>gross only; actual fees not recorded</x:v>
      </x:c>
      <x:c r="K225" s="3" t="str">
        <x:v>take profit</x:v>
      </x:c>
      <x:c r="L225" s="3" t="str">
        <x:v>production</x:v>
      </x:c>
      <x:c r="M225" s="10" t="n">
        <x:v>843</x:v>
      </x:c>
      <x:c r="N225" s="3" t="str">
        <x:v>USDT</x:v>
      </x:c>
      <x:c r="O225" s="9"/>
      <x:c r="P225" s="3"/>
      <x:c r="Q225" s="3"/>
      <x:c r="R225" s="3"/>
      <x:c r="S225" s="3"/>
      <x:c r="T225" s="3"/>
      <x:c r="U225" s="3"/>
      <x:c r="V225" s="10" t="n">
        <x:v>1789430950</x:v>
      </x:c>
      <x:c r="W225" s="3" t="str">
        <x:v>{"side": "SELL", "symbol": "PUMPUSDT", "order_id": 881041810, "quantity": "8126.00", "price": "0.003710", "quote_amount": "30.14746000", "quote_asset": "USDT", "reason": "take profit", "estimated_pnl_usdt": "0.17877200", "environment": "production", "recorded_at": 1789430950}</x:v>
      </x:c>
      <x:c r="X225" s="10" t="n">
        <x:v>0</x:v>
      </x:c>
      <x:c r="Y225" s="8" t="n">
        <x:v>46280.00636574074</x:v>
      </x:c>
      <x:c r="Z225" s="3" t="str">
        <x:v>2026-09-15</x:v>
      </x:c>
      <x:c r="AA225" s="3" t="str">
        <x:v>ACTIVE / POSITIVE</x:v>
      </x:c>
      <x:c r="AB225" s="8" t="n">
        <x:v>46280.12818287037</x:v>
      </x:c>
      <x:c r="AC225" s="10" t="n">
        <x:v>275</x:v>
      </x:c>
      <x:c r="AD225" s="3"/>
      <x:c r="AE225" s="3"/>
      <x:c r="AF225" s="9"/>
      <x:c r="AG225" s="3"/>
      <x:c r="AH225" s="9"/>
      <x:c r="AI225" s="9"/>
      <x:c r="AJ225" s="3"/>
      <x:c r="AK225" s="9"/>
      <x:c r="AL225" s="3"/>
      <x:c r="AM225" s="3"/>
    </x:row>
    <x:row r="226" ht="21" customHeight="1">
      <x:c r="A226" s="8" t="n">
        <x:v>46280.18784722222</x:v>
      </x:c>
      <x:c r="B226" s="3" t="str">
        <x:v>LINKUSDT</x:v>
      </x:c>
      <x:c r="C226" s="3" t="str">
        <x:v>BUY</x:v>
      </x:c>
      <x:c r="D226" s="3" t="str">
        <x:v>8012591958</x:v>
      </x:c>
      <x:c r="E226" s="9" t="n">
        <x:v>2.59</x:v>
      </x:c>
      <x:c r="F226" s="9" t="n">
        <x:v>11.558</x:v>
      </x:c>
      <x:c r="G226" s="9" t="n">
        <x:v>29.93522</x:v>
      </x:c>
      <x:c r="H226" s="9"/>
      <x:c r="I226" s="3"/>
      <x:c r="J226" s="3" t="str">
        <x:v>gross only; actual fees not recorded</x:v>
      </x:c>
      <x:c r="K226" s="3" t="str">
        <x:v>strategy buy signal</x:v>
      </x:c>
      <x:c r="L226" s="3" t="str">
        <x:v>production</x:v>
      </x:c>
      <x:c r="M226" s="10" t="n">
        <x:v>844</x:v>
      </x:c>
      <x:c r="N226" s="3" t="str">
        <x:v>USDT</x:v>
      </x:c>
      <x:c r="O226" s="9" t="n">
        <x:v>1789435799999</x:v>
      </x:c>
      <x:c r="P226" s="4" t="b">
        <x:v>0</x:v>
      </x:c>
      <x:c r="Q226" s="4" t="b">
        <x:v>1</x:v>
      </x:c>
      <x:c r="R226" s="4" t="b">
        <x:v>1</x:v>
      </x:c>
      <x:c r="S226" s="4" t="b">
        <x:v>1</x:v>
      </x:c>
      <x:c r="T226" s="4" t="b">
        <x:v>1</x:v>
      </x:c>
      <x:c r="U226" s="4" t="b">
        <x:v>1</x:v>
      </x:c>
      <x:c r="V226" s="10" t="n">
        <x:v>1789435830</x:v>
      </x:c>
      <x:c r="W226" s="3" t="str">
        <x:v>{"side": "BUY", "symbol": "LINKUSDT", "order_id": 8012591958, "quantity": "2.59000000", "price": "11.558", "quote_amount": "29.93522000", "quote_asset": "USDT", "signal_candle_close_time": 1789435799999, "reason": "strategy buy signal", "entry_conditions": {"rsi_recovered": false, "near_support": true, "trend_ok": true, "reward_ok": true, "stop_risk_ok": true, "momentum_ok": true}, "environment": "production", "recorded_at": 1789435830}</x:v>
      </x:c>
      <x:c r="X226" s="10" t="n">
        <x:v>0</x:v>
      </x:c>
      <x:c r="Y226" s="8" t="n">
        <x:v>46280.06284722222</x:v>
      </x:c>
      <x:c r="Z226" s="3" t="str">
        <x:v>2026-09-15</x:v>
      </x:c>
      <x:c r="AA226" s="3" t="str">
        <x:v>ACTIVE / POSITIVE</x:v>
      </x:c>
      <x:c r="AB226" s="8" t="n">
        <x:v>46280.18174768519</x:v>
      </x:c>
      <x:c r="AC226" s="10" t="n">
        <x:v>527</x:v>
      </x:c>
      <x:c r="AD226" s="3" t="str">
        <x:v>rsi_recovered</x:v>
      </x:c>
      <x:c r="AE226" s="3"/>
      <x:c r="AF226" s="9"/>
      <x:c r="AG226" s="3"/>
      <x:c r="AH226" s="9"/>
      <x:c r="AI226" s="9"/>
      <x:c r="AJ226" s="3"/>
      <x:c r="AK226" s="9"/>
      <x:c r="AL226" s="3"/>
      <x:c r="AM226" s="3"/>
    </x:row>
    <x:row r="227" ht="21" customHeight="1">
      <x:c r="A227" s="8" t="n">
        <x:v>46280.19459490741</x:v>
      </x:c>
      <x:c r="B227" s="3" t="str">
        <x:v>ENAUSDT</x:v>
      </x:c>
      <x:c r="C227" s="3" t="str">
        <x:v>BUY</x:v>
      </x:c>
      <x:c r="D227" s="3" t="str">
        <x:v>3405054866</x:v>
      </x:c>
      <x:c r="E227" s="9" t="n">
        <x:v>208.91</x:v>
      </x:c>
      <x:c r="F227" s="9" t="n">
        <x:v>0.1436</x:v>
      </x:c>
      <x:c r="G227" s="9" t="n">
        <x:v>29.999476</x:v>
      </x:c>
      <x:c r="H227" s="9"/>
      <x:c r="I227" s="3"/>
      <x:c r="J227" s="3" t="str">
        <x:v>gross only; actual fees not recorded</x:v>
      </x:c>
      <x:c r="K227" s="3" t="str">
        <x:v>strategy buy signal</x:v>
      </x:c>
      <x:c r="L227" s="3" t="str">
        <x:v>production</x:v>
      </x:c>
      <x:c r="M227" s="10" t="n">
        <x:v>845</x:v>
      </x:c>
      <x:c r="N227" s="3" t="str">
        <x:v>USDT</x:v>
      </x:c>
      <x:c r="O227" s="9" t="n">
        <x:v>1789436399999</x:v>
      </x:c>
      <x:c r="P227" s="4" t="b">
        <x:v>0</x:v>
      </x:c>
      <x:c r="Q227" s="4" t="b">
        <x:v>1</x:v>
      </x:c>
      <x:c r="R227" s="4" t="b">
        <x:v>1</x:v>
      </x:c>
      <x:c r="S227" s="4" t="b">
        <x:v>1</x:v>
      </x:c>
      <x:c r="T227" s="4" t="b">
        <x:v>1</x:v>
      </x:c>
      <x:c r="U227" s="4" t="b">
        <x:v>1</x:v>
      </x:c>
      <x:c r="V227" s="10" t="n">
        <x:v>1789436413</x:v>
      </x:c>
      <x:c r="W227" s="3" t="str">
        <x:v>{"side": "BUY", "symbol": "ENAUSDT", "order_id": 3405054866, "quantity": "208.91000000", "price": "0.1436", "quote_amount": "29.99947600", "quote_asset": "USDT", "signal_candle_close_time": 1789436399999, "reason": "strategy buy signal", "entry_conditions": {"rsi_recovered": false, "near_support": true, "trend_ok": true, "reward_ok": true, "stop_risk_ok": true, "momentum_ok": true}, "environment": "production", "recorded_at": 1789436413}</x:v>
      </x:c>
      <x:c r="X227" s="10" t="n">
        <x:v>0</x:v>
      </x:c>
      <x:c r="Y227" s="8" t="n">
        <x:v>46280.06959490741</x:v>
      </x:c>
      <x:c r="Z227" s="3" t="str">
        <x:v>2026-09-15</x:v>
      </x:c>
      <x:c r="AA227" s="3" t="str">
        <x:v>ACTIVE / POSITIVE</x:v>
      </x:c>
      <x:c r="AB227" s="8" t="n">
        <x:v>46280.1925</x:v>
      </x:c>
      <x:c r="AC227" s="10" t="n">
        <x:v>181</x:v>
      </x:c>
      <x:c r="AD227" s="3" t="str">
        <x:v>rsi_recovered</x:v>
      </x:c>
      <x:c r="AE227" s="3"/>
      <x:c r="AF227" s="9"/>
      <x:c r="AG227" s="3"/>
      <x:c r="AH227" s="9"/>
      <x:c r="AI227" s="9"/>
      <x:c r="AJ227" s="3"/>
      <x:c r="AK227" s="9"/>
      <x:c r="AL227" s="3"/>
      <x:c r="AM227" s="3"/>
    </x:row>
    <x:row r="228" ht="21" customHeight="1">
      <x:c r="A228" s="8" t="n">
        <x:v>46280.200740740744</x:v>
      </x:c>
      <x:c r="B228" s="3" t="str">
        <x:v>LINKUSDT</x:v>
      </x:c>
      <x:c r="C228" s="3" t="str">
        <x:v>SELL</x:v>
      </x:c>
      <x:c r="D228" s="3" t="str">
        <x:v>8012614975</x:v>
      </x:c>
      <x:c r="E228" s="9" t="n">
        <x:v>2.59</x:v>
      </x:c>
      <x:c r="F228" s="9" t="n">
        <x:v>11.603</x:v>
      </x:c>
      <x:c r="G228" s="9" t="n">
        <x:v>30.05177</x:v>
      </x:c>
      <x:c r="H228" s="9" t="n">
        <x:v>0.11655</x:v>
      </x:c>
      <x:c r="I228" s="3"/>
      <x:c r="J228" s="3" t="str">
        <x:v>gross only; actual fees not recorded</x:v>
      </x:c>
      <x:c r="K228" s="3" t="str">
        <x:v>take profit</x:v>
      </x:c>
      <x:c r="L228" s="3" t="str">
        <x:v>production</x:v>
      </x:c>
      <x:c r="M228" s="10" t="n">
        <x:v>846</x:v>
      </x:c>
      <x:c r="N228" s="3" t="str">
        <x:v>USDT</x:v>
      </x:c>
      <x:c r="O228" s="9"/>
      <x:c r="P228" s="3"/>
      <x:c r="Q228" s="3"/>
      <x:c r="R228" s="3"/>
      <x:c r="S228" s="3"/>
      <x:c r="T228" s="3"/>
      <x:c r="U228" s="3"/>
      <x:c r="V228" s="10" t="n">
        <x:v>1789436944</x:v>
      </x:c>
      <x:c r="W228" s="3" t="str">
        <x:v>{"side": "SELL", "symbol": "LINKUSDT", "order_id": 8012614975, "quantity": "2.59000000", "price": "11.603", "quote_amount": "30.05177000", "quote_asset": "USDT", "reason": "take profit", "estimated_pnl_usdt": "0.11655000000", "environment": "production", "recorded_at": 1789436944}</x:v>
      </x:c>
      <x:c r="X228" s="10" t="n">
        <x:v>0</x:v>
      </x:c>
      <x:c r="Y228" s="8" t="n">
        <x:v>46280.075740740744</x:v>
      </x:c>
      <x:c r="Z228" s="3" t="str">
        <x:v>2026-09-15</x:v>
      </x:c>
      <x:c r="AA228" s="3" t="str">
        <x:v>ACTIVE / POSITIVE</x:v>
      </x:c>
      <x:c r="AB228" s="8" t="n">
        <x:v>46280.1925</x:v>
      </x:c>
      <x:c r="AC228" s="10" t="n">
        <x:v>712</x:v>
      </x:c>
      <x:c r="AD228" s="3"/>
      <x:c r="AE228" s="3"/>
      <x:c r="AF228" s="9"/>
      <x:c r="AG228" s="3"/>
      <x:c r="AH228" s="9"/>
      <x:c r="AI228" s="9"/>
      <x:c r="AJ228" s="3"/>
      <x:c r="AK228" s="9"/>
      <x:c r="AL228" s="3"/>
      <x:c r="AM228" s="3"/>
    </x:row>
    <x:row r="229" ht="21" customHeight="1">
      <x:c r="A229" s="8" t="n">
        <x:v>46280.21184027778</x:v>
      </x:c>
      <x:c r="B229" s="3" t="str">
        <x:v>AAVEUSDT</x:v>
      </x:c>
      <x:c r="C229" s="3" t="str">
        <x:v>BUY</x:v>
      </x:c>
      <x:c r="D229" s="3" t="str">
        <x:v>5707367368</x:v>
      </x:c>
      <x:c r="E229" s="9" t="n">
        <x:v>0.233</x:v>
      </x:c>
      <x:c r="F229" s="9" t="n">
        <x:v>128.5</x:v>
      </x:c>
      <x:c r="G229" s="9" t="n">
        <x:v>29.9405</x:v>
      </x:c>
      <x:c r="H229" s="9"/>
      <x:c r="I229" s="3"/>
      <x:c r="J229" s="3" t="str">
        <x:v>gross only; actual fees not recorded</x:v>
      </x:c>
      <x:c r="K229" s="3" t="str">
        <x:v>strategy buy signal</x:v>
      </x:c>
      <x:c r="L229" s="3" t="str">
        <x:v>production</x:v>
      </x:c>
      <x:c r="M229" s="10" t="n">
        <x:v>847</x:v>
      </x:c>
      <x:c r="N229" s="3" t="str">
        <x:v>USDT</x:v>
      </x:c>
      <x:c r="O229" s="9" t="n">
        <x:v>1789437899999</x:v>
      </x:c>
      <x:c r="P229" s="4" t="b">
        <x:v>0</x:v>
      </x:c>
      <x:c r="Q229" s="4" t="b">
        <x:v>1</x:v>
      </x:c>
      <x:c r="R229" s="4" t="b">
        <x:v>1</x:v>
      </x:c>
      <x:c r="S229" s="4" t="b">
        <x:v>1</x:v>
      </x:c>
      <x:c r="T229" s="4" t="b">
        <x:v>1</x:v>
      </x:c>
      <x:c r="U229" s="4" t="b">
        <x:v>1</x:v>
      </x:c>
      <x:c r="V229" s="10" t="n">
        <x:v>1789437903</x:v>
      </x:c>
      <x:c r="W229" s="3" t="str">
        <x:v>{"side": "BUY", "symbol": "AAVEUSDT", "order_id": 5707367368, "quantity": "0.23300000", "price": "128.5", "quote_amount": "29.94050000", "quote_asset": "USDT", "signal_candle_close_time": 1789437899999, "reason": "strategy buy signal", "entry_conditions": {"rsi_recovered": false, "near_support": true, "trend_ok": true, "reward_ok": true, "stop_risk_ok": true, "momentum_ok": true}, "environment": "production", "recorded_at": 1789437903}</x:v>
      </x:c>
      <x:c r="X229" s="10" t="n">
        <x:v>0</x:v>
      </x:c>
      <x:c r="Y229" s="8" t="n">
        <x:v>46280.08684027778</x:v>
      </x:c>
      <x:c r="Z229" s="3" t="str">
        <x:v>2026-09-15</x:v>
      </x:c>
      <x:c r="AA229" s="3" t="str">
        <x:v>ACTIVE / POSITIVE</x:v>
      </x:c>
      <x:c r="AB229" s="8" t="n">
        <x:v>46280.20328703704</x:v>
      </x:c>
      <x:c r="AC229" s="10" t="n">
        <x:v>739</x:v>
      </x:c>
      <x:c r="AD229" s="3" t="str">
        <x:v>rsi_recovered</x:v>
      </x:c>
      <x:c r="AE229" s="3"/>
      <x:c r="AF229" s="9"/>
      <x:c r="AG229" s="3"/>
      <x:c r="AH229" s="9"/>
      <x:c r="AI229" s="9"/>
      <x:c r="AJ229" s="3"/>
      <x:c r="AK229" s="9"/>
      <x:c r="AL229" s="3"/>
      <x:c r="AM229" s="3"/>
    </x:row>
    <x:row r="230" ht="21" customHeight="1">
      <x:c r="A230" s="8" t="n">
        <x:v>46280.219189814816</x:v>
      </x:c>
      <x:c r="B230" s="3" t="str">
        <x:v>ETHUSDT</x:v>
      </x:c>
      <x:c r="C230" s="3" t="str">
        <x:v>BUY</x:v>
      </x:c>
      <x:c r="D230" s="3" t="str">
        <x:v>49820394174</x:v>
      </x:c>
      <x:c r="E230" s="9" t="n">
        <x:v>0.0119</x:v>
      </x:c>
      <x:c r="F230" s="9" t="n">
        <x:v>2517.58</x:v>
      </x:c>
      <x:c r="G230" s="9" t="n">
        <x:v>29.959202</x:v>
      </x:c>
      <x:c r="H230" s="9"/>
      <x:c r="I230" s="3"/>
      <x:c r="J230" s="3" t="str">
        <x:v>gross only; actual fees not recorded</x:v>
      </x:c>
      <x:c r="K230" s="3" t="str">
        <x:v>strategy buy signal</x:v>
      </x:c>
      <x:c r="L230" s="3" t="str">
        <x:v>production</x:v>
      </x:c>
      <x:c r="M230" s="10" t="n">
        <x:v>848</x:v>
      </x:c>
      <x:c r="N230" s="3" t="str">
        <x:v>USDT</x:v>
      </x:c>
      <x:c r="O230" s="9" t="n">
        <x:v>1789438499999</x:v>
      </x:c>
      <x:c r="P230" s="4" t="b">
        <x:v>0</x:v>
      </x:c>
      <x:c r="Q230" s="4" t="b">
        <x:v>1</x:v>
      </x:c>
      <x:c r="R230" s="4" t="b">
        <x:v>1</x:v>
      </x:c>
      <x:c r="S230" s="4" t="b">
        <x:v>1</x:v>
      </x:c>
      <x:c r="T230" s="4" t="b">
        <x:v>1</x:v>
      </x:c>
      <x:c r="U230" s="4" t="b">
        <x:v>1</x:v>
      </x:c>
      <x:c r="V230" s="10" t="n">
        <x:v>1789438538</x:v>
      </x:c>
      <x:c r="W230" s="3" t="str">
        <x:v>{"side": "BUY", "symbol": "ETHUSDT", "order_id": 49820394174, "quantity": "0.01190000", "price": "2517.58", "quote_amount": "29.95920200", "quote_asset": "USDT", "signal_candle_close_time": 1789438499999, "reason": "strategy buy signal", "entry_conditions": {"rsi_recovered": false, "near_support": true, "trend_ok": true, "reward_ok": true, "stop_risk_ok": true, "momentum_ok": true}, "environment": "production", "recorded_at": 1789438538}</x:v>
      </x:c>
      <x:c r="X230" s="10" t="n">
        <x:v>0</x:v>
      </x:c>
      <x:c r="Y230" s="8" t="n">
        <x:v>46280.094189814816</x:v>
      </x:c>
      <x:c r="Z230" s="3" t="str">
        <x:v>2026-09-15</x:v>
      </x:c>
      <x:c r="AA230" s="3" t="str">
        <x:v>ACTIVE / MIXED</x:v>
      </x:c>
      <x:c r="AB230" s="8" t="n">
        <x:v>46280.21372685185</x:v>
      </x:c>
      <x:c r="AC230" s="10" t="n">
        <x:v>472</x:v>
      </x:c>
      <x:c r="AD230" s="3" t="str">
        <x:v>rsi_recovered</x:v>
      </x:c>
      <x:c r="AE230" s="3"/>
      <x:c r="AF230" s="9"/>
      <x:c r="AG230" s="3"/>
      <x:c r="AH230" s="9"/>
      <x:c r="AI230" s="9"/>
      <x:c r="AJ230" s="3"/>
      <x:c r="AK230" s="9"/>
      <x:c r="AL230" s="3"/>
      <x:c r="AM230" s="3"/>
    </x:row>
    <x:row r="231" ht="21" customHeight="1">
      <x:c r="A231" s="8" t="n">
        <x:v>46280.22603009259</x:v>
      </x:c>
      <x:c r="B231" s="3" t="str">
        <x:v>AAVEUSDT</x:v>
      </x:c>
      <x:c r="C231" s="3" t="str">
        <x:v>SELL</x:v>
      </x:c>
      <x:c r="D231" s="3" t="str">
        <x:v>5707389482</x:v>
      </x:c>
      <x:c r="E231" s="9" t="n">
        <x:v>0.232</x:v>
      </x:c>
      <x:c r="F231" s="9" t="n">
        <x:v>127.92</x:v>
      </x:c>
      <x:c r="G231" s="9" t="n">
        <x:v>29.67744</x:v>
      </x:c>
      <x:c r="H231" s="9" t="n">
        <x:v>-0.13456</x:v>
      </x:c>
      <x:c r="I231" s="3"/>
      <x:c r="J231" s="3" t="str">
        <x:v>gross only; actual fees not recorded</x:v>
      </x:c>
      <x:c r="K231" s="3" t="str">
        <x:v>stop loss</x:v>
      </x:c>
      <x:c r="L231" s="3" t="str">
        <x:v>production</x:v>
      </x:c>
      <x:c r="M231" s="10" t="n">
        <x:v>849</x:v>
      </x:c>
      <x:c r="N231" s="3" t="str">
        <x:v>USDT</x:v>
      </x:c>
      <x:c r="O231" s="9"/>
      <x:c r="P231" s="3"/>
      <x:c r="Q231" s="3"/>
      <x:c r="R231" s="3"/>
      <x:c r="S231" s="3"/>
      <x:c r="T231" s="3"/>
      <x:c r="U231" s="3"/>
      <x:c r="V231" s="10" t="n">
        <x:v>1789439129</x:v>
      </x:c>
      <x:c r="W231" s="3" t="str">
        <x:v>{"side": "SELL", "symbol": "AAVEUSDT", "order_id": 5707389482, "quantity": "0.23200000", "price": "127.92", "quote_amount": "29.67744000", "quote_asset": "USDT", "reason": "stop loss", "estimated_pnl_usdt": "-0.1345600000", "environment": "production", "recorded_at": 1789439129}</x:v>
      </x:c>
      <x:c r="X231" s="10" t="n">
        <x:v>0</x:v>
      </x:c>
      <x:c r="Y231" s="8" t="n">
        <x:v>46280.10103009259</x:v>
      </x:c>
      <x:c r="Z231" s="3" t="str">
        <x:v>2026-09-15</x:v>
      </x:c>
      <x:c r="AA231" s="3" t="str">
        <x:v>ACTIVE / MIXED</x:v>
      </x:c>
      <x:c r="AB231" s="8" t="n">
        <x:v>46280.22431712963</x:v>
      </x:c>
      <x:c r="AC231" s="10" t="n">
        <x:v>148</x:v>
      </x:c>
      <x:c r="AD231" s="3"/>
      <x:c r="AE231" s="3"/>
      <x:c r="AF231" s="9"/>
      <x:c r="AG231" s="3"/>
      <x:c r="AH231" s="9"/>
      <x:c r="AI231" s="9"/>
      <x:c r="AJ231" s="3"/>
      <x:c r="AK231" s="9"/>
      <x:c r="AL231" s="3"/>
      <x:c r="AM231" s="3"/>
    </x:row>
    <x:row r="232" ht="21" customHeight="1">
      <x:c r="A232" s="8" t="n">
        <x:v>46280.22924768519</x:v>
      </x:c>
      <x:c r="B232" s="3" t="str">
        <x:v>ENAUSDT</x:v>
      </x:c>
      <x:c r="C232" s="3" t="str">
        <x:v>SELL</x:v>
      </x:c>
      <x:c r="D232" s="3" t="str">
        <x:v>3405099691</x:v>
      </x:c>
      <x:c r="E232" s="9" t="n">
        <x:v>208.7</x:v>
      </x:c>
      <x:c r="F232" s="9" t="n">
        <x:v>0.1423</x:v>
      </x:c>
      <x:c r="G232" s="9" t="n">
        <x:v>29.69801</x:v>
      </x:c>
      <x:c r="H232" s="9" t="n">
        <x:v>-0.27131</x:v>
      </x:c>
      <x:c r="I232" s="3"/>
      <x:c r="J232" s="3" t="str">
        <x:v>gross only; actual fees not recorded</x:v>
      </x:c>
      <x:c r="K232" s="3" t="str">
        <x:v>stop loss</x:v>
      </x:c>
      <x:c r="L232" s="3" t="str">
        <x:v>production</x:v>
      </x:c>
      <x:c r="M232" s="10" t="n">
        <x:v>850</x:v>
      </x:c>
      <x:c r="N232" s="3" t="str">
        <x:v>USDT</x:v>
      </x:c>
      <x:c r="O232" s="9"/>
      <x:c r="P232" s="3"/>
      <x:c r="Q232" s="3"/>
      <x:c r="R232" s="3"/>
      <x:c r="S232" s="3"/>
      <x:c r="T232" s="3"/>
      <x:c r="U232" s="3"/>
      <x:c r="V232" s="10" t="n">
        <x:v>1789439407</x:v>
      </x:c>
      <x:c r="W232" s="3" t="str">
        <x:v>{"side": "SELL", "symbol": "ENAUSDT", "order_id": 3405099691, "quantity": "208.70000000", "price": "0.1423", "quote_amount": "29.69801000", "quote_asset": "USDT", "reason": "stop loss", "estimated_pnl_usdt": "-0.271310000000", "environment": "production", "recorded_at": 1789439407}</x:v>
      </x:c>
      <x:c r="X232" s="10" t="n">
        <x:v>0</x:v>
      </x:c>
      <x:c r="Y232" s="8" t="n">
        <x:v>46280.10424768519</x:v>
      </x:c>
      <x:c r="Z232" s="3" t="str">
        <x:v>2026-09-15</x:v>
      </x:c>
      <x:c r="AA232" s="3" t="str">
        <x:v>ACTIVE / MIXED</x:v>
      </x:c>
      <x:c r="AB232" s="8" t="n">
        <x:v>46280.22431712963</x:v>
      </x:c>
      <x:c r="AC232" s="10" t="n">
        <x:v>426</x:v>
      </x:c>
      <x:c r="AD232" s="3"/>
      <x:c r="AE232" s="3"/>
      <x:c r="AF232" s="9"/>
      <x:c r="AG232" s="3"/>
      <x:c r="AH232" s="9"/>
      <x:c r="AI232" s="9"/>
      <x:c r="AJ232" s="3"/>
      <x:c r="AK232" s="9"/>
      <x:c r="AL232" s="3"/>
      <x:c r="AM232" s="3"/>
    </x:row>
    <x:row r="233" ht="21" customHeight="1">
      <x:c r="A233" s="8" t="n">
        <x:v>46280.23615740741</x:v>
      </x:c>
      <x:c r="B233" s="3" t="str">
        <x:v>LINKUSDT</x:v>
      </x:c>
      <x:c r="C233" s="3" t="str">
        <x:v>BUY</x:v>
      </x:c>
      <x:c r="D233" s="3" t="str">
        <x:v>8012673975</x:v>
      </x:c>
      <x:c r="E233" s="9" t="n">
        <x:v>2.58</x:v>
      </x:c>
      <x:c r="F233" s="9" t="n">
        <x:v>11.606</x:v>
      </x:c>
      <x:c r="G233" s="9" t="n">
        <x:v>29.94348</x:v>
      </x:c>
      <x:c r="H233" s="9"/>
      <x:c r="I233" s="3"/>
      <x:c r="J233" s="3" t="str">
        <x:v>gross only; actual fees not recorded</x:v>
      </x:c>
      <x:c r="K233" s="3" t="str">
        <x:v>strategy buy signal</x:v>
      </x:c>
      <x:c r="L233" s="3" t="str">
        <x:v>production</x:v>
      </x:c>
      <x:c r="M233" s="10" t="n">
        <x:v>851</x:v>
      </x:c>
      <x:c r="N233" s="3" t="str">
        <x:v>USDT</x:v>
      </x:c>
      <x:c r="O233" s="9" t="n">
        <x:v>1789439999999</x:v>
      </x:c>
      <x:c r="P233" s="4" t="b">
        <x:v>0</x:v>
      </x:c>
      <x:c r="Q233" s="4" t="b">
        <x:v>1</x:v>
      </x:c>
      <x:c r="R233" s="4" t="b">
        <x:v>1</x:v>
      </x:c>
      <x:c r="S233" s="4" t="b">
        <x:v>1</x:v>
      </x:c>
      <x:c r="T233" s="4" t="b">
        <x:v>1</x:v>
      </x:c>
      <x:c r="U233" s="4" t="b">
        <x:v>1</x:v>
      </x:c>
      <x:c r="V233" s="10" t="n">
        <x:v>1789440004</x:v>
      </x:c>
      <x:c r="W233" s="3" t="str">
        <x:v>{"side": "BUY", "symbol": "LINKUSDT", "order_id": 8012673975, "quantity": "2.58000000", "price": "11.606", "quote_amount": "29.94348000", "quote_asset": "USDT", "signal_candle_close_time": 1789439999999, "reason": "strategy buy signal", "entry_conditions": {"rsi_recovered": false, "near_support": true, "trend_ok": true, "reward_ok": true, "stop_risk_ok": true, "momentum_ok": true}, "environment": "production", "recorded_at": 1789440004}</x:v>
      </x:c>
      <x:c r="X233" s="10" t="n">
        <x:v>0</x:v>
      </x:c>
      <x:c r="Y233" s="8" t="n">
        <x:v>46280.11115740741</x:v>
      </x:c>
      <x:c r="Z233" s="3" t="str">
        <x:v>2026-09-15</x:v>
      </x:c>
      <x:c r="AA233" s="3" t="str">
        <x:v>ACTIVE / MIXED</x:v>
      </x:c>
      <x:c r="AB233" s="8" t="n">
        <x:v>46280.234814814816</x:v>
      </x:c>
      <x:c r="AC233" s="10" t="n">
        <x:v>116</x:v>
      </x:c>
      <x:c r="AD233" s="3" t="str">
        <x:v>rsi_recovered</x:v>
      </x:c>
      <x:c r="AE233" s="3"/>
      <x:c r="AF233" s="9"/>
      <x:c r="AG233" s="3"/>
      <x:c r="AH233" s="9"/>
      <x:c r="AI233" s="9"/>
      <x:c r="AJ233" s="3"/>
      <x:c r="AK233" s="9"/>
      <x:c r="AL233" s="3"/>
      <x:c r="AM233" s="3"/>
    </x:row>
    <x:row r="234" ht="21" customHeight="1">
      <x:c r="A234" s="8" t="n">
        <x:v>46280.25010416667</x:v>
      </x:c>
      <x:c r="B234" s="3" t="str">
        <x:v>SUIUSDT</x:v>
      </x:c>
      <x:c r="C234" s="3" t="str">
        <x:v>BUY</x:v>
      </x:c>
      <x:c r="D234" s="3" t="str">
        <x:v>8854302163</x:v>
      </x:c>
      <x:c r="E234" s="9" t="n">
        <x:v>41.5</x:v>
      </x:c>
      <x:c r="F234" s="9" t="n">
        <x:v>0.7212</x:v>
      </x:c>
      <x:c r="G234" s="9" t="n">
        <x:v>29.9298</x:v>
      </x:c>
      <x:c r="H234" s="9"/>
      <x:c r="I234" s="3"/>
      <x:c r="J234" s="3" t="str">
        <x:v>gross only; actual fees not recorded</x:v>
      </x:c>
      <x:c r="K234" s="3" t="str">
        <x:v>strategy buy signal</x:v>
      </x:c>
      <x:c r="L234" s="3" t="str">
        <x:v>production</x:v>
      </x:c>
      <x:c r="M234" s="10" t="n">
        <x:v>852</x:v>
      </x:c>
      <x:c r="N234" s="3" t="str">
        <x:v>USDT</x:v>
      </x:c>
      <x:c r="O234" s="9" t="n">
        <x:v>1789441199999</x:v>
      </x:c>
      <x:c r="P234" s="4" t="b">
        <x:v>0</x:v>
      </x:c>
      <x:c r="Q234" s="4" t="b">
        <x:v>1</x:v>
      </x:c>
      <x:c r="R234" s="4" t="b">
        <x:v>1</x:v>
      </x:c>
      <x:c r="S234" s="4" t="b">
        <x:v>1</x:v>
      </x:c>
      <x:c r="T234" s="4" t="b">
        <x:v>1</x:v>
      </x:c>
      <x:c r="U234" s="4" t="b">
        <x:v>1</x:v>
      </x:c>
      <x:c r="V234" s="10" t="n">
        <x:v>1789441209</x:v>
      </x:c>
      <x:c r="W234" s="3" t="str">
        <x:v>{"side": "BUY", "symbol": "SUIUSDT", "order_id": 8854302163, "quantity": "41.50000000", "price": "0.7212", "quote_amount": "29.92980000", "quote_asset": "USDT", "signal_candle_close_time": 1789441199999, "reason": "strategy buy signal", "entry_conditions": {"rsi_recovered": false, "near_support": true, "trend_ok": true, "reward_ok": true, "stop_risk_ok": true, "momentum_ok": true}, "environment": "production", "recorded_at": 1789441209}</x:v>
      </x:c>
      <x:c r="X234" s="10" t="n">
        <x:v>0</x:v>
      </x:c>
      <x:c r="Y234" s="8" t="n">
        <x:v>46280.12510416667</x:v>
      </x:c>
      <x:c r="Z234" s="3" t="str">
        <x:v>2026-09-15</x:v>
      </x:c>
      <x:c r="AA234" s="3" t="str">
        <x:v>ACTIVE / MIXED</x:v>
      </x:c>
      <x:c r="AB234" s="8" t="n">
        <x:v>46280.24563657407</x:v>
      </x:c>
      <x:c r="AC234" s="10" t="n">
        <x:v>386</x:v>
      </x:c>
      <x:c r="AD234" s="3" t="str">
        <x:v>rsi_recovered</x:v>
      </x:c>
      <x:c r="AE234" s="3"/>
      <x:c r="AF234" s="9"/>
      <x:c r="AG234" s="3"/>
      <x:c r="AH234" s="9"/>
      <x:c r="AI234" s="9"/>
      <x:c r="AJ234" s="3"/>
      <x:c r="AK234" s="9"/>
      <x:c r="AL234" s="3"/>
      <x:c r="AM234" s="3"/>
    </x:row>
    <x:row r="235" ht="21" customHeight="1">
      <x:c r="A235" s="8" t="n">
        <x:v>46280.25019675926</x:v>
      </x:c>
      <x:c r="B235" s="3" t="str">
        <x:v>LINKUSDT</x:v>
      </x:c>
      <x:c r="C235" s="3" t="str">
        <x:v>SELL</x:v>
      </x:c>
      <x:c r="D235" s="3" t="str">
        <x:v>8012697411</x:v>
      </x:c>
      <x:c r="E235" s="9" t="n">
        <x:v>2.58</x:v>
      </x:c>
      <x:c r="F235" s="9" t="n">
        <x:v>11.56</x:v>
      </x:c>
      <x:c r="G235" s="9" t="n">
        <x:v>29.8248</x:v>
      </x:c>
      <x:c r="H235" s="9" t="n">
        <x:v>-0.11868</x:v>
      </x:c>
      <x:c r="I235" s="3"/>
      <x:c r="J235" s="3" t="str">
        <x:v>gross only; actual fees not recorded</x:v>
      </x:c>
      <x:c r="K235" s="3" t="str">
        <x:v>stop loss</x:v>
      </x:c>
      <x:c r="L235" s="3" t="str">
        <x:v>production</x:v>
      </x:c>
      <x:c r="M235" s="10" t="n">
        <x:v>853</x:v>
      </x:c>
      <x:c r="N235" s="3" t="str">
        <x:v>USDT</x:v>
      </x:c>
      <x:c r="O235" s="9"/>
      <x:c r="P235" s="3"/>
      <x:c r="Q235" s="3"/>
      <x:c r="R235" s="3"/>
      <x:c r="S235" s="3"/>
      <x:c r="T235" s="3"/>
      <x:c r="U235" s="3"/>
      <x:c r="V235" s="10" t="n">
        <x:v>1789441217</x:v>
      </x:c>
      <x:c r="W235" s="3" t="str">
        <x:v>{"side": "SELL", "symbol": "LINKUSDT", "order_id": 8012697411, "quantity": "2.58000000", "price": "11.56", "quote_amount": "29.82480000", "quote_asset": "USDT", "reason": "stop loss", "estimated_pnl_usdt": "-0.11868000000", "environment": "production", "recorded_at": 1789441217}</x:v>
      </x:c>
      <x:c r="X235" s="10" t="n">
        <x:v>0</x:v>
      </x:c>
      <x:c r="Y235" s="8" t="n">
        <x:v>46280.12519675926</x:v>
      </x:c>
      <x:c r="Z235" s="3" t="str">
        <x:v>2026-09-15</x:v>
      </x:c>
      <x:c r="AA235" s="3" t="str">
        <x:v>ACTIVE / MIXED</x:v>
      </x:c>
      <x:c r="AB235" s="8" t="n">
        <x:v>46280.24563657407</x:v>
      </x:c>
      <x:c r="AC235" s="10" t="n">
        <x:v>394</x:v>
      </x:c>
      <x:c r="AD235" s="3"/>
      <x:c r="AE235" s="3"/>
      <x:c r="AF235" s="9"/>
      <x:c r="AG235" s="3"/>
      <x:c r="AH235" s="9"/>
      <x:c r="AI235" s="9"/>
      <x:c r="AJ235" s="3"/>
      <x:c r="AK235" s="9"/>
      <x:c r="AL235" s="3"/>
      <x:c r="AM235" s="3"/>
    </x:row>
    <x:row r="236" ht="21" customHeight="1">
      <x:c r="A236" s="8" t="n">
        <x:v>46280.250243055554</x:v>
      </x:c>
      <x:c r="B236" s="3" t="str">
        <x:v>TAOUSDT</x:v>
      </x:c>
      <x:c r="C236" s="3" t="str">
        <x:v>BUY</x:v>
      </x:c>
      <x:c r="D236" s="3" t="str">
        <x:v>2571338161</x:v>
      </x:c>
      <x:c r="E236" s="9" t="n">
        <x:v>0.1288</x:v>
      </x:c>
      <x:c r="F236" s="9" t="n">
        <x:v>232.8</x:v>
      </x:c>
      <x:c r="G236" s="9" t="n">
        <x:v>29.98464</x:v>
      </x:c>
      <x:c r="H236" s="9"/>
      <x:c r="I236" s="3"/>
      <x:c r="J236" s="3" t="str">
        <x:v>gross only; actual fees not recorded</x:v>
      </x:c>
      <x:c r="K236" s="3" t="str">
        <x:v>strategy buy signal</x:v>
      </x:c>
      <x:c r="L236" s="3" t="str">
        <x:v>production</x:v>
      </x:c>
      <x:c r="M236" s="10" t="n">
        <x:v>854</x:v>
      </x:c>
      <x:c r="N236" s="3" t="str">
        <x:v>USDT</x:v>
      </x:c>
      <x:c r="O236" s="9" t="n">
        <x:v>1789441199999</x:v>
      </x:c>
      <x:c r="P236" s="4" t="b">
        <x:v>0</x:v>
      </x:c>
      <x:c r="Q236" s="4" t="b">
        <x:v>1</x:v>
      </x:c>
      <x:c r="R236" s="4" t="b">
        <x:v>1</x:v>
      </x:c>
      <x:c r="S236" s="4" t="b">
        <x:v>1</x:v>
      </x:c>
      <x:c r="T236" s="4" t="b">
        <x:v>1</x:v>
      </x:c>
      <x:c r="U236" s="4" t="b">
        <x:v>1</x:v>
      </x:c>
      <x:c r="V236" s="10" t="n">
        <x:v>1789441221</x:v>
      </x:c>
      <x:c r="W236" s="3" t="str">
        <x:v>{"side": "BUY", "symbol": "TAOUSDT", "order_id": 2571338161, "quantity": "0.12880000", "price": "232.8", "quote_amount": "29.98464000", "quote_asset": "USDT", "signal_candle_close_time": 1789441199999, "reason": "strategy buy signal", "entry_conditions": {"rsi_recovered": false, "near_support": true, "trend_ok": true, "reward_ok": true, "stop_risk_ok": true, "momentum_ok": true}, "environment": "production", "recorded_at": 1789441221}</x:v>
      </x:c>
      <x:c r="X236" s="10" t="n">
        <x:v>0</x:v>
      </x:c>
      <x:c r="Y236" s="8" t="n">
        <x:v>46280.125243055554</x:v>
      </x:c>
      <x:c r="Z236" s="3" t="str">
        <x:v>2026-09-15</x:v>
      </x:c>
      <x:c r="AA236" s="3" t="str">
        <x:v>ACTIVE / MIXED</x:v>
      </x:c>
      <x:c r="AB236" s="8" t="n">
        <x:v>46280.24563657407</x:v>
      </x:c>
      <x:c r="AC236" s="10" t="n">
        <x:v>398</x:v>
      </x:c>
      <x:c r="AD236" s="3" t="str">
        <x:v>rsi_recovered</x:v>
      </x:c>
      <x:c r="AE236" s="3"/>
      <x:c r="AF236" s="9"/>
      <x:c r="AG236" s="3"/>
      <x:c r="AH236" s="9"/>
      <x:c r="AI236" s="9"/>
      <x:c r="AJ236" s="3"/>
      <x:c r="AK236" s="9"/>
      <x:c r="AL236" s="3"/>
      <x:c r="AM236" s="3"/>
    </x:row>
    <x:row r="237" ht="21" customHeight="1">
      <x:c r="A237" s="8" t="n">
        <x:v>46280.253796296296</x:v>
      </x:c>
      <x:c r="B237" s="3" t="str">
        <x:v>ETHUSDT</x:v>
      </x:c>
      <x:c r="C237" s="3" t="str">
        <x:v>SELL</x:v>
      </x:c>
      <x:c r="D237" s="3" t="str">
        <x:v>49820992577</x:v>
      </x:c>
      <x:c r="E237" s="9" t="n">
        <x:v>0.0119</x:v>
      </x:c>
      <x:c r="F237" s="9" t="n">
        <x:v>2506.03</x:v>
      </x:c>
      <x:c r="G237" s="9" t="n">
        <x:v>29.821757</x:v>
      </x:c>
      <x:c r="H237" s="9" t="n">
        <x:v>-0.137445</x:v>
      </x:c>
      <x:c r="I237" s="3"/>
      <x:c r="J237" s="3" t="str">
        <x:v>gross only; actual fees not recorded</x:v>
      </x:c>
      <x:c r="K237" s="3" t="str">
        <x:v>stop loss</x:v>
      </x:c>
      <x:c r="L237" s="3" t="str">
        <x:v>production</x:v>
      </x:c>
      <x:c r="M237" s="10" t="n">
        <x:v>855</x:v>
      </x:c>
      <x:c r="N237" s="3" t="str">
        <x:v>USDT</x:v>
      </x:c>
      <x:c r="O237" s="9"/>
      <x:c r="P237" s="3"/>
      <x:c r="Q237" s="3"/>
      <x:c r="R237" s="3"/>
      <x:c r="S237" s="3"/>
      <x:c r="T237" s="3"/>
      <x:c r="U237" s="3"/>
      <x:c r="V237" s="10" t="n">
        <x:v>1789441528</x:v>
      </x:c>
      <x:c r="W237" s="3" t="str">
        <x:v>{"side": "SELL", "symbol": "ETHUSDT", "order_id": 49820992577, "quantity": "0.01190000", "price": "2506.03", "quote_amount": "29.82175700", "quote_asset": "USDT", "reason": "stop loss", "estimated_pnl_usdt": "-0.1374450000", "environment": "production", "recorded_at": 1789441528}</x:v>
      </x:c>
      <x:c r="X237" s="10" t="n">
        <x:v>0</x:v>
      </x:c>
      <x:c r="Y237" s="8" t="n">
        <x:v>46280.128796296296</x:v>
      </x:c>
      <x:c r="Z237" s="3" t="str">
        <x:v>2026-09-15</x:v>
      </x:c>
      <x:c r="AA237" s="3" t="str">
        <x:v>ACTIVE / MIXED</x:v>
      </x:c>
      <x:c r="AB237" s="8" t="n">
        <x:v>46280.24563657407</x:v>
      </x:c>
      <x:c r="AC237" s="10" t="n">
        <x:v>705</x:v>
      </x:c>
      <x:c r="AD237" s="3"/>
      <x:c r="AE237" s="3"/>
      <x:c r="AF237" s="9"/>
      <x:c r="AG237" s="3"/>
      <x:c r="AH237" s="9"/>
      <x:c r="AI237" s="9"/>
      <x:c r="AJ237" s="3"/>
      <x:c r="AK237" s="9"/>
      <x:c r="AL237" s="3"/>
      <x:c r="AM237" s="3"/>
    </x:row>
    <x:row r="238" ht="21" customHeight="1">
      <x:c r="A238" s="8" t="n">
        <x:v>46280.25734953704</x:v>
      </x:c>
      <x:c r="B238" s="3" t="str">
        <x:v>SUIUSDT</x:v>
      </x:c>
      <x:c r="C238" s="3" t="str">
        <x:v>SELL</x:v>
      </x:c>
      <x:c r="D238" s="3" t="str">
        <x:v>8854320637</x:v>
      </x:c>
      <x:c r="E238" s="9" t="n">
        <x:v>41.5</x:v>
      </x:c>
      <x:c r="F238" s="9" t="n">
        <x:v>0.7184</x:v>
      </x:c>
      <x:c r="G238" s="9" t="n">
        <x:v>29.8136</x:v>
      </x:c>
      <x:c r="H238" s="9" t="n">
        <x:v>-0.1162</x:v>
      </x:c>
      <x:c r="I238" s="3"/>
      <x:c r="J238" s="3" t="str">
        <x:v>gross only; actual fees not recorded</x:v>
      </x:c>
      <x:c r="K238" s="3" t="str">
        <x:v>stop loss</x:v>
      </x:c>
      <x:c r="L238" s="3" t="str">
        <x:v>production</x:v>
      </x:c>
      <x:c r="M238" s="10" t="n">
        <x:v>856</x:v>
      </x:c>
      <x:c r="N238" s="3" t="str">
        <x:v>USDT</x:v>
      </x:c>
      <x:c r="O238" s="9"/>
      <x:c r="P238" s="3"/>
      <x:c r="Q238" s="3"/>
      <x:c r="R238" s="3"/>
      <x:c r="S238" s="3"/>
      <x:c r="T238" s="3"/>
      <x:c r="U238" s="3"/>
      <x:c r="V238" s="10" t="n">
        <x:v>1789441835</x:v>
      </x:c>
      <x:c r="W238" s="3" t="str">
        <x:v>{"side": "SELL", "symbol": "SUIUSDT", "order_id": 8854320637, "quantity": "41.50000000", "price": "0.7184", "quote_amount": "29.81360000", "quote_asset": "USDT", "reason": "stop loss", "estimated_pnl_usdt": "-0.116200000000", "environment": "production", "recorded_at": 1789441835}</x:v>
      </x:c>
      <x:c r="X238" s="10" t="n">
        <x:v>0</x:v>
      </x:c>
      <x:c r="Y238" s="8" t="n">
        <x:v>46280.13234953704</x:v>
      </x:c>
      <x:c r="Z238" s="3" t="str">
        <x:v>2026-09-15</x:v>
      </x:c>
      <x:c r="AA238" s="3" t="str">
        <x:v>ACTIVE / MIXED</x:v>
      </x:c>
      <x:c r="AB238" s="8" t="n">
        <x:v>46280.25611111111</x:v>
      </x:c>
      <x:c r="AC238" s="10" t="n">
        <x:v>107</x:v>
      </x:c>
      <x:c r="AD238" s="3"/>
      <x:c r="AE238" s="3"/>
      <x:c r="AF238" s="9"/>
      <x:c r="AG238" s="3"/>
      <x:c r="AH238" s="9"/>
      <x:c r="AI238" s="9"/>
      <x:c r="AJ238" s="3"/>
      <x:c r="AK238" s="9"/>
      <x:c r="AL238" s="3"/>
      <x:c r="AM238" s="3"/>
    </x:row>
    <x:row r="239" ht="21" customHeight="1">
      <x:c r="A239" s="8" t="n">
        <x:v>46280.25734953704</x:v>
      </x:c>
      <x:c r="B239" s="3" t="str">
        <x:v>PEPEUSDT</x:v>
      </x:c>
      <x:c r="C239" s="3" t="str">
        <x:v>BUY</x:v>
      </x:c>
      <x:c r="D239" s="3" t="str">
        <x:v>5416580234</x:v>
      </x:c>
      <x:c r="E239" s="9" t="n">
        <x:v>8670520</x:v>
      </x:c>
      <x:c r="F239" s="9" t="n">
        <x:v>0.00000346</x:v>
      </x:c>
      <x:c r="G239" s="9" t="n">
        <x:v>29.9999992</x:v>
      </x:c>
      <x:c r="H239" s="9"/>
      <x:c r="I239" s="3"/>
      <x:c r="J239" s="3" t="str">
        <x:v>gross only; actual fees not recorded</x:v>
      </x:c>
      <x:c r="K239" s="3" t="str">
        <x:v>strategy buy signal</x:v>
      </x:c>
      <x:c r="L239" s="3" t="str">
        <x:v>production</x:v>
      </x:c>
      <x:c r="M239" s="10" t="n">
        <x:v>857</x:v>
      </x:c>
      <x:c r="N239" s="3" t="str">
        <x:v>USDT</x:v>
      </x:c>
      <x:c r="O239" s="9" t="n">
        <x:v>1789441799999</x:v>
      </x:c>
      <x:c r="P239" s="4" t="b">
        <x:v>0</x:v>
      </x:c>
      <x:c r="Q239" s="4" t="b">
        <x:v>1</x:v>
      </x:c>
      <x:c r="R239" s="4" t="b">
        <x:v>1</x:v>
      </x:c>
      <x:c r="S239" s="4" t="b">
        <x:v>1</x:v>
      </x:c>
      <x:c r="T239" s="4" t="b">
        <x:v>1</x:v>
      </x:c>
      <x:c r="U239" s="4" t="b">
        <x:v>1</x:v>
      </x:c>
      <x:c r="V239" s="10" t="n">
        <x:v>1789441835</x:v>
      </x:c>
      <x:c r="W239" s="3" t="str">
        <x:v>{"side": "BUY", "symbol": "PEPEUSDT", "order_id": 5416580234, "quantity": "8670520.00", "price": "0.00000346", "quote_amount": "29.99999920", "quote_asset": "USDT", "signal_candle_close_time": 1789441799999, "reason": "strategy buy signal", "entry_conditions": {"rsi_recovered": false, "near_support": true, "trend_ok": true, "reward_ok": true, "stop_risk_ok": true, "momentum_ok": true}, "environment": "production", "recorded_at": 1789441835}</x:v>
      </x:c>
      <x:c r="X239" s="10" t="n">
        <x:v>0</x:v>
      </x:c>
      <x:c r="Y239" s="8" t="n">
        <x:v>46280.13234953704</x:v>
      </x:c>
      <x:c r="Z239" s="3" t="str">
        <x:v>2026-09-15</x:v>
      </x:c>
      <x:c r="AA239" s="3" t="str">
        <x:v>ACTIVE / MIXED</x:v>
      </x:c>
      <x:c r="AB239" s="8" t="n">
        <x:v>46280.25611111111</x:v>
      </x:c>
      <x:c r="AC239" s="10" t="n">
        <x:v>107</x:v>
      </x:c>
      <x:c r="AD239" s="3" t="str">
        <x:v>rsi_recovered</x:v>
      </x:c>
      <x:c r="AE239" s="3"/>
      <x:c r="AF239" s="9"/>
      <x:c r="AG239" s="3"/>
      <x:c r="AH239" s="9"/>
      <x:c r="AI239" s="9"/>
      <x:c r="AJ239" s="3"/>
      <x:c r="AK239" s="9"/>
      <x:c r="AL239" s="3"/>
      <x:c r="AM239" s="3"/>
    </x:row>
    <x:row r="240" ht="21" customHeight="1">
      <x:c r="A240" s="8" t="n">
        <x:v>46280.260613425926</x:v>
      </x:c>
      <x:c r="B240" s="3" t="str">
        <x:v>TAOUSDT</x:v>
      </x:c>
      <x:c r="C240" s="3" t="str">
        <x:v>SELL</x:v>
      </x:c>
      <x:c r="D240" s="3" t="str">
        <x:v>2571349830</x:v>
      </x:c>
      <x:c r="E240" s="9" t="n">
        <x:v>0.1287</x:v>
      </x:c>
      <x:c r="F240" s="9" t="n">
        <x:v>231.2</x:v>
      </x:c>
      <x:c r="G240" s="9" t="n">
        <x:v>29.75544</x:v>
      </x:c>
      <x:c r="H240" s="9" t="n">
        <x:v>-0.20592</x:v>
      </x:c>
      <x:c r="I240" s="3"/>
      <x:c r="J240" s="3" t="str">
        <x:v>gross only; actual fees not recorded</x:v>
      </x:c>
      <x:c r="K240" s="3" t="str">
        <x:v>stop loss</x:v>
      </x:c>
      <x:c r="L240" s="3" t="str">
        <x:v>production</x:v>
      </x:c>
      <x:c r="M240" s="10" t="n">
        <x:v>858</x:v>
      </x:c>
      <x:c r="N240" s="3" t="str">
        <x:v>USDT</x:v>
      </x:c>
      <x:c r="O240" s="9"/>
      <x:c r="P240" s="3"/>
      <x:c r="Q240" s="3"/>
      <x:c r="R240" s="3"/>
      <x:c r="S240" s="3"/>
      <x:c r="T240" s="3"/>
      <x:c r="U240" s="3"/>
      <x:c r="V240" s="10" t="n">
        <x:v>1789442117</x:v>
      </x:c>
      <x:c r="W240" s="3" t="str">
        <x:v>{"side": "SELL", "symbol": "TAOUSDT", "order_id": 2571349830, "quantity": "0.12870000", "price": "231.2", "quote_amount": "29.75544000", "quote_asset": "USDT", "reason": "stop loss", "estimated_pnl_usdt": "-0.205920000", "environment": "production", "recorded_at": 1789442117}</x:v>
      </x:c>
      <x:c r="X240" s="10" t="n">
        <x:v>0</x:v>
      </x:c>
      <x:c r="Y240" s="8" t="n">
        <x:v>46280.135613425926</x:v>
      </x:c>
      <x:c r="Z240" s="3" t="str">
        <x:v>2026-09-15</x:v>
      </x:c>
      <x:c r="AA240" s="3" t="str">
        <x:v>ACTIVE / MIXED</x:v>
      </x:c>
      <x:c r="AB240" s="8" t="n">
        <x:v>46280.25611111111</x:v>
      </x:c>
      <x:c r="AC240" s="10" t="n">
        <x:v>389</x:v>
      </x:c>
      <x:c r="AD240" s="3"/>
      <x:c r="AE240" s="3"/>
      <x:c r="AF240" s="9"/>
      <x:c r="AG240" s="3"/>
      <x:c r="AH240" s="9"/>
      <x:c r="AI240" s="9"/>
      <x:c r="AJ240" s="3"/>
      <x:c r="AK240" s="9"/>
      <x:c r="AL240" s="3"/>
      <x:c r="AM240" s="3"/>
    </x:row>
    <x:row r="241" ht="21" customHeight="1">
      <x:c r="A241" s="8" t="n">
        <x:v>46280.284791666665</x:v>
      </x:c>
      <x:c r="B241" s="3" t="str">
        <x:v>SOXLBUSDT</x:v>
      </x:c>
      <x:c r="C241" s="3" t="str">
        <x:v>BUY</x:v>
      </x:c>
      <x:c r="D241" s="3" t="str">
        <x:v>183402836</x:v>
      </x:c>
      <x:c r="E241" s="9" t="n">
        <x:v>0.291</x:v>
      </x:c>
      <x:c r="F241" s="9" t="n">
        <x:v>103.04</x:v>
      </x:c>
      <x:c r="G241" s="9" t="n">
        <x:v>29.98464</x:v>
      </x:c>
      <x:c r="H241" s="9"/>
      <x:c r="I241" s="3"/>
      <x:c r="J241" s="3" t="str">
        <x:v>gross only; actual fees not recorded</x:v>
      </x:c>
      <x:c r="K241" s="3" t="str">
        <x:v>strategy buy signal</x:v>
      </x:c>
      <x:c r="L241" s="3" t="str">
        <x:v>production</x:v>
      </x:c>
      <x:c r="M241" s="10" t="n">
        <x:v>859</x:v>
      </x:c>
      <x:c r="N241" s="3" t="str">
        <x:v>USDT</x:v>
      </x:c>
      <x:c r="O241" s="9" t="n">
        <x:v>1789444199999</x:v>
      </x:c>
      <x:c r="P241" s="4" t="b">
        <x:v>0</x:v>
      </x:c>
      <x:c r="Q241" s="4" t="b">
        <x:v>1</x:v>
      </x:c>
      <x:c r="R241" s="4" t="b">
        <x:v>1</x:v>
      </x:c>
      <x:c r="S241" s="4" t="b">
        <x:v>1</x:v>
      </x:c>
      <x:c r="T241" s="4" t="b">
        <x:v>1</x:v>
      </x:c>
      <x:c r="U241" s="4" t="b">
        <x:v>1</x:v>
      </x:c>
      <x:c r="V241" s="10" t="n">
        <x:v>1789444206</x:v>
      </x:c>
      <x:c r="W241" s="3" t="str">
        <x:v>{"side": "BUY", "symbol": "SOXLBUSDT", "order_id": 183402836, "quantity": "0.29100000", "price": "103.04", "quote_amount": "29.98464000", "quote_asset": "USDT", "signal_candle_close_time": 1789444199999, "reason": "strategy buy signal", "entry_conditions": {"rsi_recovered": false, "near_support": true, "trend_ok": true, "reward_ok": true, "stop_risk_ok": true, "momentum_ok": true}, "environment": "production", "recorded_at": 1789444206}</x:v>
      </x:c>
      <x:c r="X241" s="10" t="n">
        <x:v>0</x:v>
      </x:c>
      <x:c r="Y241" s="8" t="n">
        <x:v>46280.159791666665</x:v>
      </x:c>
      <x:c r="Z241" s="3" t="str">
        <x:v>2026-09-15</x:v>
      </x:c>
      <x:c r="AA241" s="3" t="str">
        <x:v>ACTIVE / MIXED</x:v>
      </x:c>
      <x:c r="AB241" s="8" t="n">
        <x:v>46280.27753472222</x:v>
      </x:c>
      <x:c r="AC241" s="10" t="n">
        <x:v>627</x:v>
      </x:c>
      <x:c r="AD241" s="3" t="str">
        <x:v>rsi_recovered</x:v>
      </x:c>
      <x:c r="AE241" s="3"/>
      <x:c r="AF241" s="9"/>
      <x:c r="AG241" s="3"/>
      <x:c r="AH241" s="9"/>
      <x:c r="AI241" s="9"/>
      <x:c r="AJ241" s="3"/>
      <x:c r="AK241" s="9"/>
      <x:c r="AL241" s="3"/>
      <x:c r="AM241" s="3"/>
    </x:row>
    <x:row r="242" ht="21" customHeight="1">
      <x:c r="A242" s="8" t="n">
        <x:v>46280.28480324074</x:v>
      </x:c>
      <x:c r="B242" s="3" t="str">
        <x:v>XLMUSDT</x:v>
      </x:c>
      <x:c r="C242" s="3" t="str">
        <x:v>BUY</x:v>
      </x:c>
      <x:c r="D242" s="3" t="str">
        <x:v>3859106851</x:v>
      </x:c>
      <x:c r="E242" s="9" t="n">
        <x:v>154</x:v>
      </x:c>
      <x:c r="F242" s="9" t="n">
        <x:v>0.1942</x:v>
      </x:c>
      <x:c r="G242" s="9" t="n">
        <x:v>29.9068</x:v>
      </x:c>
      <x:c r="H242" s="9"/>
      <x:c r="I242" s="3"/>
      <x:c r="J242" s="3" t="str">
        <x:v>gross only; actual fees not recorded</x:v>
      </x:c>
      <x:c r="K242" s="3" t="str">
        <x:v>strategy buy signal</x:v>
      </x:c>
      <x:c r="L242" s="3" t="str">
        <x:v>production</x:v>
      </x:c>
      <x:c r="M242" s="10" t="n">
        <x:v>860</x:v>
      </x:c>
      <x:c r="N242" s="3" t="str">
        <x:v>USDT</x:v>
      </x:c>
      <x:c r="O242" s="9" t="n">
        <x:v>1789444199999</x:v>
      </x:c>
      <x:c r="P242" s="4" t="b">
        <x:v>0</x:v>
      </x:c>
      <x:c r="Q242" s="4" t="b">
        <x:v>1</x:v>
      </x:c>
      <x:c r="R242" s="4" t="b">
        <x:v>1</x:v>
      </x:c>
      <x:c r="S242" s="4" t="b">
        <x:v>1</x:v>
      </x:c>
      <x:c r="T242" s="4" t="b">
        <x:v>1</x:v>
      </x:c>
      <x:c r="U242" s="4" t="b">
        <x:v>1</x:v>
      </x:c>
      <x:c r="V242" s="10" t="n">
        <x:v>1789444207</x:v>
      </x:c>
      <x:c r="W242" s="3" t="str">
        <x:v>{"side": "BUY", "symbol": "XLMUSDT", "order_id": 3859106851, "quantity": "154.00000000", "price": "0.1942", "quote_amount": "29.90680000", "quote_asset": "USDT", "signal_candle_close_time": 1789444199999, "reason": "strategy buy signal", "entry_conditions": {"rsi_recovered": false, "near_support": true, "trend_ok": true, "reward_ok": true, "stop_risk_ok": true, "momentum_ok": true}, "environment": "production", "recorded_at": 1789444207}</x:v>
      </x:c>
      <x:c r="X242" s="10" t="n">
        <x:v>0</x:v>
      </x:c>
      <x:c r="Y242" s="8" t="n">
        <x:v>46280.15980324074</x:v>
      </x:c>
      <x:c r="Z242" s="3" t="str">
        <x:v>2026-09-15</x:v>
      </x:c>
      <x:c r="AA242" s="3" t="str">
        <x:v>ACTIVE / MIXED</x:v>
      </x:c>
      <x:c r="AB242" s="8" t="n">
        <x:v>46280.27753472222</x:v>
      </x:c>
      <x:c r="AC242" s="10" t="n">
        <x:v>628</x:v>
      </x:c>
      <x:c r="AD242" s="3" t="str">
        <x:v>rsi_recovered</x:v>
      </x:c>
      <x:c r="AE242" s="3"/>
      <x:c r="AF242" s="9"/>
      <x:c r="AG242" s="3"/>
      <x:c r="AH242" s="9"/>
      <x:c r="AI242" s="9"/>
      <x:c r="AJ242" s="3"/>
      <x:c r="AK242" s="9"/>
      <x:c r="AL242" s="3"/>
      <x:c r="AM242" s="3"/>
    </x:row>
    <x:row r="243" ht="21" customHeight="1">
      <x:c r="A243" s="8" t="n">
        <x:v>46280.29199074074</x:v>
      </x:c>
      <x:c r="B243" s="3" t="str">
        <x:v>SOXLBUSDT</x:v>
      </x:c>
      <x:c r="C243" s="3" t="str">
        <x:v>SELL</x:v>
      </x:c>
      <x:c r="D243" s="3" t="str">
        <x:v>183412440</x:v>
      </x:c>
      <x:c r="E243" s="9" t="n">
        <x:v>0.29</x:v>
      </x:c>
      <x:c r="F243" s="9" t="n">
        <x:v>102.36</x:v>
      </x:c>
      <x:c r="G243" s="9" t="n">
        <x:v>29.6844</x:v>
      </x:c>
      <x:c r="H243" s="9" t="n">
        <x:v>-0.1972</x:v>
      </x:c>
      <x:c r="I243" s="3"/>
      <x:c r="J243" s="3" t="str">
        <x:v>gross only; actual fees not recorded</x:v>
      </x:c>
      <x:c r="K243" s="3" t="str">
        <x:v>stop loss</x:v>
      </x:c>
      <x:c r="L243" s="3" t="str">
        <x:v>production</x:v>
      </x:c>
      <x:c r="M243" s="10" t="n">
        <x:v>861</x:v>
      </x:c>
      <x:c r="N243" s="3" t="str">
        <x:v>USDT</x:v>
      </x:c>
      <x:c r="O243" s="9"/>
      <x:c r="P243" s="3"/>
      <x:c r="Q243" s="3"/>
      <x:c r="R243" s="3"/>
      <x:c r="S243" s="3"/>
      <x:c r="T243" s="3"/>
      <x:c r="U243" s="3"/>
      <x:c r="V243" s="10" t="n">
        <x:v>1789444828</x:v>
      </x:c>
      <x:c r="W243" s="3" t="str">
        <x:v>{"side": "SELL", "symbol": "SOXLBUSDT", "order_id": 183412440, "quantity": "0.29000000", "price": "102.36", "quote_amount": "29.68440000", "quote_asset": "USDT", "reason": "stop loss", "estimated_pnl_usdt": "-0.1972000000", "environment": "production", "recorded_at": 1789444828}</x:v>
      </x:c>
      <x:c r="X243" s="10" t="n">
        <x:v>0</x:v>
      </x:c>
      <x:c r="Y243" s="8" t="n">
        <x:v>46280.16699074074</x:v>
      </x:c>
      <x:c r="Z243" s="3" t="str">
        <x:v>2026-09-15</x:v>
      </x:c>
      <x:c r="AA243" s="3" t="str">
        <x:v>ACTIVE / MIXED</x:v>
      </x:c>
      <x:c r="AB243" s="8" t="n">
        <x:v>46280.28832175926</x:v>
      </x:c>
      <x:c r="AC243" s="10" t="n">
        <x:v>317</x:v>
      </x:c>
      <x:c r="AD243" s="3"/>
      <x:c r="AE243" s="3"/>
      <x:c r="AF243" s="9"/>
      <x:c r="AG243" s="3"/>
      <x:c r="AH243" s="9"/>
      <x:c r="AI243" s="9"/>
      <x:c r="AJ243" s="3"/>
      <x:c r="AK243" s="9"/>
      <x:c r="AL243" s="3"/>
      <x:c r="AM243" s="3"/>
    </x:row>
    <x:row r="244" ht="21" customHeight="1">
      <x:c r="A244" s="8" t="n">
        <x:v>46280.30915509259</x:v>
      </x:c>
      <x:c r="B244" s="3" t="str">
        <x:v>XLMUSDT</x:v>
      </x:c>
      <x:c r="C244" s="3" t="str">
        <x:v>SELL</x:v>
      </x:c>
      <x:c r="D244" s="3" t="str">
        <x:v>3859144087</x:v>
      </x:c>
      <x:c r="E244" s="9" t="n">
        <x:v>153</x:v>
      </x:c>
      <x:c r="F244" s="9" t="n">
        <x:v>0.1925</x:v>
      </x:c>
      <x:c r="G244" s="9" t="n">
        <x:v>29.4525</x:v>
      </x:c>
      <x:c r="H244" s="9" t="n">
        <x:v>-0.2601</x:v>
      </x:c>
      <x:c r="I244" s="3"/>
      <x:c r="J244" s="3" t="str">
        <x:v>gross only; actual fees not recorded</x:v>
      </x:c>
      <x:c r="K244" s="3" t="str">
        <x:v>stop loss</x:v>
      </x:c>
      <x:c r="L244" s="3" t="str">
        <x:v>production</x:v>
      </x:c>
      <x:c r="M244" s="10" t="n">
        <x:v>862</x:v>
      </x:c>
      <x:c r="N244" s="3" t="str">
        <x:v>USDT</x:v>
      </x:c>
      <x:c r="O244" s="9"/>
      <x:c r="P244" s="3"/>
      <x:c r="Q244" s="3"/>
      <x:c r="R244" s="3"/>
      <x:c r="S244" s="3"/>
      <x:c r="T244" s="3"/>
      <x:c r="U244" s="3"/>
      <x:c r="V244" s="10" t="n">
        <x:v>1789446311</x:v>
      </x:c>
      <x:c r="W244" s="3" t="str">
        <x:v>{"side": "SELL", "symbol": "XLMUSDT", "order_id": 3859144087, "quantity": "153.00000000", "price": "0.1925", "quote_amount": "29.45250000", "quote_asset": "USDT", "reason": "stop loss", "estimated_pnl_usdt": "-0.260100000000", "environment": "production", "recorded_at": 1789446311}</x:v>
      </x:c>
      <x:c r="X244" s="10" t="n">
        <x:v>0</x:v>
      </x:c>
      <x:c r="Y244" s="8" t="n">
        <x:v>46280.18415509259</x:v>
      </x:c>
      <x:c r="Z244" s="3" t="str">
        <x:v>2026-09-15</x:v>
      </x:c>
      <x:c r="AA244" s="3" t="str">
        <x:v>ACTIVE / MIXED</x:v>
      </x:c>
      <x:c r="AB244" s="8" t="n">
        <x:v>46280.299108796295</x:v>
      </x:c>
      <x:c r="AC244" s="10" t="n">
        <x:v>868</x:v>
      </x:c>
      <x:c r="AD244" s="3"/>
      <x:c r="AE244" s="3"/>
      <x:c r="AF244" s="9"/>
      <x:c r="AG244" s="3"/>
      <x:c r="AH244" s="9"/>
      <x:c r="AI244" s="9"/>
      <x:c r="AJ244" s="3"/>
      <x:c r="AK244" s="9"/>
      <x:c r="AL244" s="3"/>
      <x:c r="AM244" s="3"/>
    </x:row>
    <x:row r="245" ht="21" customHeight="1">
      <x:c r="A245" s="8" t="n">
        <x:v>46280.34752314815</x:v>
      </x:c>
      <x:c r="B245" s="3" t="str">
        <x:v>PEPEUSDT</x:v>
      </x:c>
      <x:c r="C245" s="3" t="str">
        <x:v>SELL</x:v>
      </x:c>
      <x:c r="D245" s="3" t="str">
        <x:v>5416621744</x:v>
      </x:c>
      <x:c r="E245" s="9" t="n">
        <x:v>8661850</x:v>
      </x:c>
      <x:c r="F245" s="9" t="n">
        <x:v>0.00000342</x:v>
      </x:c>
      <x:c r="G245" s="9" t="n">
        <x:v>29.623527</x:v>
      </x:c>
      <x:c r="H245" s="9" t="n">
        <x:v>-0.346474</x:v>
      </x:c>
      <x:c r="I245" s="3"/>
      <x:c r="J245" s="3" t="str">
        <x:v>gross only; actual fees not recorded</x:v>
      </x:c>
      <x:c r="K245" s="3" t="str">
        <x:v>stop loss</x:v>
      </x:c>
      <x:c r="L245" s="3" t="str">
        <x:v>production</x:v>
      </x:c>
      <x:c r="M245" s="10" t="n">
        <x:v>863</x:v>
      </x:c>
      <x:c r="N245" s="3" t="str">
        <x:v>USDT</x:v>
      </x:c>
      <x:c r="O245" s="9"/>
      <x:c r="P245" s="3"/>
      <x:c r="Q245" s="3"/>
      <x:c r="R245" s="3"/>
      <x:c r="S245" s="3"/>
      <x:c r="T245" s="3"/>
      <x:c r="U245" s="3"/>
      <x:c r="V245" s="10" t="n">
        <x:v>1789449626</x:v>
      </x:c>
      <x:c r="W245" s="3" t="str">
        <x:v>{"side": "SELL", "symbol": "PEPEUSDT", "order_id": 5416621744, "quantity": "8661850.00", "price": "0.00000342", "quote_amount": "29.62352700", "quote_asset": "USDT", "reason": "stop loss", "estimated_pnl_usdt": "-0.3464740000", "environment": "production", "recorded_at": 1789449626}</x:v>
      </x:c>
      <x:c r="X245" s="10" t="n">
        <x:v>0</x:v>
      </x:c>
      <x:c r="Y245" s="8" t="n">
        <x:v>46280.22252314815</x:v>
      </x:c>
      <x:c r="Z245" s="3" t="str">
        <x:v>2026-09-15</x:v>
      </x:c>
      <x:c r="AA245" s="3" t="str">
        <x:v>ACTIVE / MIXED</x:v>
      </x:c>
      <x:c r="AB245" s="8" t="n">
        <x:v>46280.341840277775</x:v>
      </x:c>
      <x:c r="AC245" s="10" t="n">
        <x:v>491</x:v>
      </x:c>
      <x:c r="AD245" s="3"/>
      <x:c r="AE245" s="3"/>
      <x:c r="AF245" s="9"/>
      <x:c r="AG245" s="3"/>
      <x:c r="AH245" s="9"/>
      <x:c r="AI245" s="9"/>
      <x:c r="AJ245" s="3"/>
      <x:c r="AK245" s="9"/>
      <x:c r="AL245" s="3"/>
      <x:c r="AM245" s="3"/>
    </x:row>
    <x:row r="246" ht="21" customHeight="1">
      <x:c r="A246" s="8" t="n">
        <x:v>46280.35109953704</x:v>
      </x:c>
      <x:c r="B246" s="3" t="str">
        <x:v>NEARUSDT</x:v>
      </x:c>
      <x:c r="C246" s="3" t="str">
        <x:v>BUY</x:v>
      </x:c>
      <x:c r="D246" s="3" t="str">
        <x:v>5128309888</x:v>
      </x:c>
      <x:c r="E246" s="9" t="n">
        <x:v>12.3</x:v>
      </x:c>
      <x:c r="F246" s="9" t="n">
        <x:v>2.423</x:v>
      </x:c>
      <x:c r="G246" s="9" t="n">
        <x:v>29.8029</x:v>
      </x:c>
      <x:c r="H246" s="9"/>
      <x:c r="I246" s="3"/>
      <x:c r="J246" s="3" t="str">
        <x:v>gross only; actual fees not recorded</x:v>
      </x:c>
      <x:c r="K246" s="3" t="str">
        <x:v>strategy buy signal</x:v>
      </x:c>
      <x:c r="L246" s="3" t="str">
        <x:v>production</x:v>
      </x:c>
      <x:c r="M246" s="10" t="n">
        <x:v>864</x:v>
      </x:c>
      <x:c r="N246" s="3" t="str">
        <x:v>USDT</x:v>
      </x:c>
      <x:c r="O246" s="9" t="n">
        <x:v>1789449899999</x:v>
      </x:c>
      <x:c r="P246" s="4" t="b">
        <x:v>0</x:v>
      </x:c>
      <x:c r="Q246" s="4" t="b">
        <x:v>1</x:v>
      </x:c>
      <x:c r="R246" s="4" t="b">
        <x:v>1</x:v>
      </x:c>
      <x:c r="S246" s="4" t="b">
        <x:v>1</x:v>
      </x:c>
      <x:c r="T246" s="4" t="b">
        <x:v>1</x:v>
      </x:c>
      <x:c r="U246" s="4" t="b">
        <x:v>1</x:v>
      </x:c>
      <x:c r="V246" s="10" t="n">
        <x:v>1789449935</x:v>
      </x:c>
      <x:c r="W246" s="3" t="str">
        <x:v>{"side": "BUY", "symbol": "NEARUSDT", "order_id": 5128309888, "quantity": "12.30000000", "price": "2.423", "quote_amount": "29.80290000", "quote_asset": "USDT", "signal_candle_close_time": 1789449899999, "reason": "strategy buy signal", "entry_conditions": {"rsi_recovered": false, "near_support": true, "trend_ok": true, "reward_ok": true, "stop_risk_ok": true, "momentum_ok": true}, "environment": "production", "recorded_at": 1789449935}</x:v>
      </x:c>
      <x:c r="X246" s="10" t="n">
        <x:v>0</x:v>
      </x:c>
      <x:c r="Y246" s="8" t="n">
        <x:v>46280.22609953704</x:v>
      </x:c>
      <x:c r="Z246" s="3" t="str">
        <x:v>2026-09-15</x:v>
      </x:c>
      <x:c r="AA246" s="3" t="str">
        <x:v>ACTIVE / MIXED</x:v>
      </x:c>
      <x:c r="AB246" s="8" t="n">
        <x:v>46280.341840277775</x:v>
      </x:c>
      <x:c r="AC246" s="10" t="n">
        <x:v>800</x:v>
      </x:c>
      <x:c r="AD246" s="3" t="str">
        <x:v>rsi_recovered</x:v>
      </x:c>
      <x:c r="AE246" s="3"/>
      <x:c r="AF246" s="9"/>
      <x:c r="AG246" s="3"/>
      <x:c r="AH246" s="9"/>
      <x:c r="AI246" s="9"/>
      <x:c r="AJ246" s="3"/>
      <x:c r="AK246" s="9"/>
      <x:c r="AL246" s="3"/>
      <x:c r="AM246" s="3"/>
    </x:row>
    <x:row r="247" ht="21" customHeight="1">
      <x:c r="A247" s="8" t="n">
        <x:v>46280.37082175926</x:v>
      </x:c>
      <x:c r="B247" s="3" t="str">
        <x:v>NEARUSDT</x:v>
      </x:c>
      <x:c r="C247" s="3" t="str">
        <x:v>SELL</x:v>
      </x:c>
      <x:c r="D247" s="3" t="str">
        <x:v>5128338298</x:v>
      </x:c>
      <x:c r="E247" s="9" t="n">
        <x:v>12.3</x:v>
      </x:c>
      <x:c r="F247" s="9" t="n">
        <x:v>2.439</x:v>
      </x:c>
      <x:c r="G247" s="9" t="n">
        <x:v>29.9997</x:v>
      </x:c>
      <x:c r="H247" s="9" t="n">
        <x:v>0.1968</x:v>
      </x:c>
      <x:c r="I247" s="3"/>
      <x:c r="J247" s="3" t="str">
        <x:v>gross only; actual fees not recorded</x:v>
      </x:c>
      <x:c r="K247" s="3" t="str">
        <x:v>take profit</x:v>
      </x:c>
      <x:c r="L247" s="3" t="str">
        <x:v>production</x:v>
      </x:c>
      <x:c r="M247" s="10" t="n">
        <x:v>865</x:v>
      </x:c>
      <x:c r="N247" s="3" t="str">
        <x:v>USDT</x:v>
      </x:c>
      <x:c r="O247" s="9"/>
      <x:c r="P247" s="3"/>
      <x:c r="Q247" s="3"/>
      <x:c r="R247" s="3"/>
      <x:c r="S247" s="3"/>
      <x:c r="T247" s="3"/>
      <x:c r="U247" s="3"/>
      <x:c r="V247" s="10" t="n">
        <x:v>1789451639</x:v>
      </x:c>
      <x:c r="W247" s="3" t="str">
        <x:v>{"side": "SELL", "symbol": "NEARUSDT", "order_id": 5128338298, "quantity": "12.30000000", "price": "2.439", "quote_amount": "29.99970000", "quote_asset": "USDT", "reason": "take profit", "estimated_pnl_usdt": "0.19680000000", "environment": "production", "recorded_at": 1789451639}</x:v>
      </x:c>
      <x:c r="X247" s="10" t="n">
        <x:v>0</x:v>
      </x:c>
      <x:c r="Y247" s="8" t="n">
        <x:v>46280.24582175926</x:v>
      </x:c>
      <x:c r="Z247" s="3" t="str">
        <x:v>2026-09-15</x:v>
      </x:c>
      <x:c r="AA247" s="3" t="str">
        <x:v>ACTIVE / MIXED</x:v>
      </x:c>
      <x:c r="AB247" s="8" t="n">
        <x:v>46280.36306712963</x:v>
      </x:c>
      <x:c r="AC247" s="10" t="n">
        <x:v>670</x:v>
      </x:c>
      <x:c r="AD247" s="3"/>
      <x:c r="AE247" s="3"/>
      <x:c r="AF247" s="9"/>
      <x:c r="AG247" s="3"/>
      <x:c r="AH247" s="9"/>
      <x:c r="AI247" s="9"/>
      <x:c r="AJ247" s="3"/>
      <x:c r="AK247" s="9"/>
      <x:c r="AL247" s="3"/>
      <x:c r="AM247" s="3"/>
    </x:row>
    <x:row r="248" ht="21" customHeight="1">
      <x:c r="A248" s="8" t="n">
        <x:v>46280.39275462963</x:v>
      </x:c>
      <x:c r="B248" s="3" t="str">
        <x:v>AAVEUSDT</x:v>
      </x:c>
      <x:c r="C248" s="3" t="str">
        <x:v>BUY</x:v>
      </x:c>
      <x:c r="D248" s="3" t="str">
        <x:v>5707665052</x:v>
      </x:c>
      <x:c r="E248" s="9" t="n">
        <x:v>0.235</x:v>
      </x:c>
      <x:c r="F248" s="9" t="n">
        <x:v>127.44</x:v>
      </x:c>
      <x:c r="G248" s="9" t="n">
        <x:v>29.9484</x:v>
      </x:c>
      <x:c r="H248" s="9"/>
      <x:c r="I248" s="3"/>
      <x:c r="J248" s="3" t="str">
        <x:v>gross only; actual fees not recorded</x:v>
      </x:c>
      <x:c r="K248" s="3" t="str">
        <x:v>strategy buy signal</x:v>
      </x:c>
      <x:c r="L248" s="3" t="str">
        <x:v>production</x:v>
      </x:c>
      <x:c r="M248" s="10" t="n">
        <x:v>866</x:v>
      </x:c>
      <x:c r="N248" s="3" t="str">
        <x:v>USDT</x:v>
      </x:c>
      <x:c r="O248" s="9" t="n">
        <x:v>1789453499999</x:v>
      </x:c>
      <x:c r="P248" s="4" t="b">
        <x:v>0</x:v>
      </x:c>
      <x:c r="Q248" s="4" t="b">
        <x:v>1</x:v>
      </x:c>
      <x:c r="R248" s="4" t="b">
        <x:v>1</x:v>
      </x:c>
      <x:c r="S248" s="4" t="b">
        <x:v>1</x:v>
      </x:c>
      <x:c r="T248" s="4" t="b">
        <x:v>1</x:v>
      </x:c>
      <x:c r="U248" s="4" t="b">
        <x:v>1</x:v>
      </x:c>
      <x:c r="V248" s="10" t="n">
        <x:v>1789453534</x:v>
      </x:c>
      <x:c r="W248" s="3" t="str">
        <x:v>{"side": "BUY", "symbol": "AAVEUSDT", "order_id": 5707665052, "quantity": "0.23500000", "price": "127.44", "quote_amount": "29.94840000", "quote_asset": "USDT", "signal_candle_close_time": 1789453499999, "reason": "strategy buy signal", "entry_conditions": {"rsi_recovered": false, "near_support": true, "trend_ok": true, "reward_ok": true, "stop_risk_ok": true, "momentum_ok": true}, "environment": "production", "recorded_at": 1789453534}</x:v>
      </x:c>
      <x:c r="X248" s="10" t="n">
        <x:v>0</x:v>
      </x:c>
      <x:c r="Y248" s="8" t="n">
        <x:v>46280.26775462963</x:v>
      </x:c>
      <x:c r="Z248" s="3" t="str">
        <x:v>2026-09-15</x:v>
      </x:c>
      <x:c r="AA248" s="3" t="str">
        <x:v>ACTIVE / MIXED</x:v>
      </x:c>
      <x:c r="AB248" s="8" t="n">
        <x:v>46280.38431712963</x:v>
      </x:c>
      <x:c r="AC248" s="10" t="n">
        <x:v>729</x:v>
      </x:c>
      <x:c r="AD248" s="3" t="str">
        <x:v>rsi_recovered</x:v>
      </x:c>
      <x:c r="AE248" s="3"/>
      <x:c r="AF248" s="9"/>
      <x:c r="AG248" s="3"/>
      <x:c r="AH248" s="9"/>
      <x:c r="AI248" s="9"/>
      <x:c r="AJ248" s="3"/>
      <x:c r="AK248" s="9"/>
      <x:c r="AL248" s="3"/>
      <x:c r="AM248" s="3"/>
    </x:row>
    <x:row r="249" ht="21" customHeight="1">
      <x:c r="A249" s="8" t="n">
        <x:v>46280.403020833335</x:v>
      </x:c>
      <x:c r="B249" s="3" t="str">
        <x:v>ZECUSDT</x:v>
      </x:c>
      <x:c r="C249" s="3" t="str">
        <x:v>BUY</x:v>
      </x:c>
      <x:c r="D249" s="3" t="str">
        <x:v>6116285275</x:v>
      </x:c>
      <x:c r="E249" s="9" t="n">
        <x:v>0.026</x:v>
      </x:c>
      <x:c r="F249" s="9" t="n">
        <x:v>1142.55</x:v>
      </x:c>
      <x:c r="G249" s="9" t="n">
        <x:v>29.7063</x:v>
      </x:c>
      <x:c r="H249" s="9"/>
      <x:c r="I249" s="3"/>
      <x:c r="J249" s="3" t="str">
        <x:v>gross only; actual fees not recorded</x:v>
      </x:c>
      <x:c r="K249" s="3" t="str">
        <x:v>strategy buy signal</x:v>
      </x:c>
      <x:c r="L249" s="3" t="str">
        <x:v>production</x:v>
      </x:c>
      <x:c r="M249" s="10" t="n">
        <x:v>867</x:v>
      </x:c>
      <x:c r="N249" s="3" t="str">
        <x:v>USDT</x:v>
      </x:c>
      <x:c r="O249" s="9" t="n">
        <x:v>1789454399999</x:v>
      </x:c>
      <x:c r="P249" s="4" t="b">
        <x:v>0</x:v>
      </x:c>
      <x:c r="Q249" s="4" t="b">
        <x:v>1</x:v>
      </x:c>
      <x:c r="R249" s="4" t="b">
        <x:v>1</x:v>
      </x:c>
      <x:c r="S249" s="4" t="b">
        <x:v>1</x:v>
      </x:c>
      <x:c r="T249" s="4" t="b">
        <x:v>1</x:v>
      </x:c>
      <x:c r="U249" s="4" t="b">
        <x:v>1</x:v>
      </x:c>
      <x:c r="V249" s="10" t="n">
        <x:v>1789454421</x:v>
      </x:c>
      <x:c r="W249" s="3" t="str">
        <x:v>{"side": "BUY", "symbol": "ZECUSDT", "order_id": 6116285275, "quantity": "0.02600000", "price": "1142.55", "quote_amount": "29.70630000", "quote_asset": "USDT", "signal_candle_close_time": 1789454399999, "reason": "strategy buy signal", "entry_conditions": {"rsi_recovered": false, "near_support": true, "trend_ok": true, "reward_ok": true, "stop_risk_ok": true, "momentum_ok": true}, "environment": "production", "recorded_at": 1789454421}</x:v>
      </x:c>
      <x:c r="X249" s="10" t="n">
        <x:v>0</x:v>
      </x:c>
      <x:c r="Y249" s="8" t="n">
        <x:v>46280.278020833335</x:v>
      </x:c>
      <x:c r="Z249" s="3" t="str">
        <x:v>2026-09-15</x:v>
      </x:c>
      <x:c r="AA249" s="3" t="str">
        <x:v>ACTIVE / WEAK</x:v>
      </x:c>
      <x:c r="AB249" s="8" t="n">
        <x:v>46280.3950462963</x:v>
      </x:c>
      <x:c r="AC249" s="10" t="n">
        <x:v>689</x:v>
      </x:c>
      <x:c r="AD249" s="3" t="str">
        <x:v>rsi_recovered</x:v>
      </x:c>
      <x:c r="AE249" s="3"/>
      <x:c r="AF249" s="9"/>
      <x:c r="AG249" s="3"/>
      <x:c r="AH249" s="9"/>
      <x:c r="AI249" s="9"/>
      <x:c r="AJ249" s="3"/>
      <x:c r="AK249" s="9"/>
      <x:c r="AL249" s="3"/>
      <x:c r="AM249" s="3"/>
    </x:row>
    <x:row r="250" ht="21" customHeight="1">
      <x:c r="A250" s="8" t="n">
        <x:v>46280.40997685185</x:v>
      </x:c>
      <x:c r="B250" s="3" t="str">
        <x:v>AAVEUSDT</x:v>
      </x:c>
      <x:c r="C250" s="3" t="str">
        <x:v>SELL</x:v>
      </x:c>
      <x:c r="D250" s="3" t="str">
        <x:v>5707688239</x:v>
      </x:c>
      <x:c r="E250" s="9" t="n">
        <x:v>0.235</x:v>
      </x:c>
      <x:c r="F250" s="9" t="n">
        <x:v>126.89834042553191</x:v>
      </x:c>
      <x:c r="G250" s="9" t="n">
        <x:v>29.82111</x:v>
      </x:c>
      <x:c r="H250" s="9" t="n">
        <x:v>-0.12729</x:v>
      </x:c>
      <x:c r="I250" s="3"/>
      <x:c r="J250" s="3" t="str">
        <x:v>gross only; actual fees not recorded</x:v>
      </x:c>
      <x:c r="K250" s="3" t="str">
        <x:v>stop loss</x:v>
      </x:c>
      <x:c r="L250" s="3" t="str">
        <x:v>production</x:v>
      </x:c>
      <x:c r="M250" s="10" t="n">
        <x:v>868</x:v>
      </x:c>
      <x:c r="N250" s="3" t="str">
        <x:v>USDT</x:v>
      </x:c>
      <x:c r="O250" s="9"/>
      <x:c r="P250" s="3"/>
      <x:c r="Q250" s="3"/>
      <x:c r="R250" s="3"/>
      <x:c r="S250" s="3"/>
      <x:c r="T250" s="3"/>
      <x:c r="U250" s="3"/>
      <x:c r="V250" s="10" t="n">
        <x:v>1789455022</x:v>
      </x:c>
      <x:c r="W250" s="3" t="str">
        <x:v>{"side": "SELL", "symbol": "AAVEUSDT", "order_id": 5707688239, "quantity": "0.23500000", "price": "126.8983404255319148936170213", "quote_amount": "29.82111000", "quote_asset": "USDT", "reason": "stop loss", "estimated_pnl_usdt": "-0.1272899999999999999999999945", "environment": "production", "recorded_at": 1789455022}</x:v>
      </x:c>
      <x:c r="X250" s="10" t="n">
        <x:v>0</x:v>
      </x:c>
      <x:c r="Y250" s="8" t="n">
        <x:v>46280.28497685185</x:v>
      </x:c>
      <x:c r="Z250" s="3" t="str">
        <x:v>2026-09-15</x:v>
      </x:c>
      <x:c r="AA250" s="3" t="str">
        <x:v>ACTIVE / WEAK</x:v>
      </x:c>
      <x:c r="AB250" s="8" t="n">
        <x:v>46280.40577546296</x:v>
      </x:c>
      <x:c r="AC250" s="10" t="n">
        <x:v>363</x:v>
      </x:c>
      <x:c r="AD250" s="3"/>
      <x:c r="AE250" s="3"/>
      <x:c r="AF250" s="9"/>
      <x:c r="AG250" s="3"/>
      <x:c r="AH250" s="9"/>
      <x:c r="AI250" s="9"/>
      <x:c r="AJ250" s="3"/>
      <x:c r="AK250" s="9"/>
      <x:c r="AL250" s="3"/>
      <x:c r="AM250" s="3"/>
    </x:row>
    <x:row r="251" ht="21" customHeight="1">
      <x:c r="A251" s="8" t="n">
        <x:v>46280.413252314815</x:v>
      </x:c>
      <x:c r="B251" s="3" t="str">
        <x:v>XLMUSDT</x:v>
      </x:c>
      <x:c r="C251" s="3" t="str">
        <x:v>BUY</x:v>
      </x:c>
      <x:c r="D251" s="3" t="str">
        <x:v>3859269863</x:v>
      </x:c>
      <x:c r="E251" s="9" t="n">
        <x:v>156</x:v>
      </x:c>
      <x:c r="F251" s="9" t="n">
        <x:v>0.1923</x:v>
      </x:c>
      <x:c r="G251" s="9" t="n">
        <x:v>29.9988</x:v>
      </x:c>
      <x:c r="H251" s="9"/>
      <x:c r="I251" s="3"/>
      <x:c r="J251" s="3" t="str">
        <x:v>gross only; actual fees not recorded</x:v>
      </x:c>
      <x:c r="K251" s="3" t="str">
        <x:v>strategy buy signal</x:v>
      </x:c>
      <x:c r="L251" s="3" t="str">
        <x:v>production</x:v>
      </x:c>
      <x:c r="M251" s="10" t="n">
        <x:v>869</x:v>
      </x:c>
      <x:c r="N251" s="3" t="str">
        <x:v>USDT</x:v>
      </x:c>
      <x:c r="O251" s="9" t="n">
        <x:v>1789455299999</x:v>
      </x:c>
      <x:c r="P251" s="4" t="b">
        <x:v>0</x:v>
      </x:c>
      <x:c r="Q251" s="4" t="b">
        <x:v>1</x:v>
      </x:c>
      <x:c r="R251" s="4" t="b">
        <x:v>1</x:v>
      </x:c>
      <x:c r="S251" s="4" t="b">
        <x:v>1</x:v>
      </x:c>
      <x:c r="T251" s="4" t="b">
        <x:v>1</x:v>
      </x:c>
      <x:c r="U251" s="4" t="b">
        <x:v>1</x:v>
      </x:c>
      <x:c r="V251" s="10" t="n">
        <x:v>1789455305</x:v>
      </x:c>
      <x:c r="W251" s="3" t="str">
        <x:v>{"side": "BUY", "symbol": "XLMUSDT", "order_id": 3859269863, "quantity": "156.00000000", "price": "0.1923", "quote_amount": "29.99880000", "quote_asset": "USDT", "signal_candle_close_time": 1789455299999, "reason": "strategy buy signal", "entry_conditions": {"rsi_recovered": false, "near_support": true, "trend_ok": true, "reward_ok": true, "stop_risk_ok": true, "momentum_ok": true}, "environment": "production", "recorded_at": 1789455305}</x:v>
      </x:c>
      <x:c r="X251" s="10" t="n">
        <x:v>0</x:v>
      </x:c>
      <x:c r="Y251" s="8" t="n">
        <x:v>46280.288252314815</x:v>
      </x:c>
      <x:c r="Z251" s="3" t="str">
        <x:v>2026-09-15</x:v>
      </x:c>
      <x:c r="AA251" s="3" t="str">
        <x:v>ACTIVE / WEAK</x:v>
      </x:c>
      <x:c r="AB251" s="8" t="n">
        <x:v>46280.40577546296</x:v>
      </x:c>
      <x:c r="AC251" s="10" t="n">
        <x:v>646</x:v>
      </x:c>
      <x:c r="AD251" s="3" t="str">
        <x:v>rsi_recovered</x:v>
      </x:c>
      <x:c r="AE251" s="3"/>
      <x:c r="AF251" s="9"/>
      <x:c r="AG251" s="3"/>
      <x:c r="AH251" s="9"/>
      <x:c r="AI251" s="9"/>
      <x:c r="AJ251" s="3"/>
      <x:c r="AK251" s="9"/>
      <x:c r="AL251" s="3"/>
      <x:c r="AM251" s="3"/>
    </x:row>
    <x:row r="252" ht="21" customHeight="1">
      <x:c r="A252" s="8" t="n">
        <x:v>46280.42402777778</x:v>
      </x:c>
      <x:c r="B252" s="3" t="str">
        <x:v>ARBUSDT</x:v>
      </x:c>
      <x:c r="C252" s="3" t="str">
        <x:v>BUY</x:v>
      </x:c>
      <x:c r="D252" s="3" t="str">
        <x:v>3680167581</x:v>
      </x:c>
      <x:c r="E252" s="9" t="n">
        <x:v>224.7</x:v>
      </x:c>
      <x:c r="F252" s="9" t="n">
        <x:v>0.1335</x:v>
      </x:c>
      <x:c r="G252" s="9" t="n">
        <x:v>29.99745</x:v>
      </x:c>
      <x:c r="H252" s="9"/>
      <x:c r="I252" s="3"/>
      <x:c r="J252" s="3" t="str">
        <x:v>gross only; actual fees not recorded</x:v>
      </x:c>
      <x:c r="K252" s="3" t="str">
        <x:v>strategy buy signal</x:v>
      </x:c>
      <x:c r="L252" s="3" t="str">
        <x:v>production</x:v>
      </x:c>
      <x:c r="M252" s="10" t="n">
        <x:v>870</x:v>
      </x:c>
      <x:c r="N252" s="3" t="str">
        <x:v>USDT</x:v>
      </x:c>
      <x:c r="O252" s="9" t="n">
        <x:v>1789456199999</x:v>
      </x:c>
      <x:c r="P252" s="4" t="b">
        <x:v>0</x:v>
      </x:c>
      <x:c r="Q252" s="4" t="b">
        <x:v>1</x:v>
      </x:c>
      <x:c r="R252" s="4" t="b">
        <x:v>1</x:v>
      </x:c>
      <x:c r="S252" s="4" t="b">
        <x:v>1</x:v>
      </x:c>
      <x:c r="T252" s="4" t="b">
        <x:v>1</x:v>
      </x:c>
      <x:c r="U252" s="4" t="b">
        <x:v>1</x:v>
      </x:c>
      <x:c r="V252" s="10" t="n">
        <x:v>1789456236</x:v>
      </x:c>
      <x:c r="W252" s="3" t="str">
        <x:v>{"side": "BUY", "symbol": "ARBUSDT", "order_id": 3680167581, "quantity": "224.70000000", "price": "0.1335", "quote_amount": "29.99745000", "quote_asset": "USDT", "signal_candle_close_time": 1789456199999, "reason": "strategy buy signal", "entry_conditions": {"rsi_recovered": false, "near_support": true, "trend_ok": true, "reward_ok": true, "stop_risk_ok": true, "momentum_ok": true}, "environment": "production", "recorded_at": 1789456236}</x:v>
      </x:c>
      <x:c r="X252" s="10" t="n">
        <x:v>0</x:v>
      </x:c>
      <x:c r="Y252" s="8" t="n">
        <x:v>46280.29902777778</x:v>
      </x:c>
      <x:c r="Z252" s="3" t="str">
        <x:v>2026-09-15</x:v>
      </x:c>
      <x:c r="AA252" s="3" t="str">
        <x:v>ACTIVE / WEAK</x:v>
      </x:c>
      <x:c r="AB252" s="8" t="n">
        <x:v>46280.41638888889</x:v>
      </x:c>
      <x:c r="AC252" s="10" t="n">
        <x:v>660</x:v>
      </x:c>
      <x:c r="AD252" s="3" t="str">
        <x:v>rsi_recovered</x:v>
      </x:c>
      <x:c r="AE252" s="3"/>
      <x:c r="AF252" s="9"/>
      <x:c r="AG252" s="3"/>
      <x:c r="AH252" s="9"/>
      <x:c r="AI252" s="9"/>
      <x:c r="AJ252" s="3"/>
      <x:c r="AK252" s="9"/>
      <x:c r="AL252" s="3"/>
      <x:c r="AM252" s="3"/>
    </x:row>
    <x:row r="253" ht="21" customHeight="1">
      <x:c r="A253" s="8" t="n">
        <x:v>46280.42732638889</x:v>
      </x:c>
      <x:c r="B253" s="3" t="str">
        <x:v>SNDKBUSDT</x:v>
      </x:c>
      <x:c r="C253" s="3" t="str">
        <x:v>BUY</x:v>
      </x:c>
      <x:c r="D253" s="3" t="str">
        <x:v>347521937</x:v>
      </x:c>
      <x:c r="E253" s="9" t="n">
        <x:v>0.0192</x:v>
      </x:c>
      <x:c r="F253" s="9" t="n">
        <x:v>1559.756875</x:v>
      </x:c>
      <x:c r="G253" s="9" t="n">
        <x:v>29.947332</x:v>
      </x:c>
      <x:c r="H253" s="9"/>
      <x:c r="I253" s="3"/>
      <x:c r="J253" s="3" t="str">
        <x:v>gross only; actual fees not recorded</x:v>
      </x:c>
      <x:c r="K253" s="3" t="str">
        <x:v>strategy buy signal</x:v>
      </x:c>
      <x:c r="L253" s="3" t="str">
        <x:v>production</x:v>
      </x:c>
      <x:c r="M253" s="10" t="n">
        <x:v>871</x:v>
      </x:c>
      <x:c r="N253" s="3" t="str">
        <x:v>USDT</x:v>
      </x:c>
      <x:c r="O253" s="9" t="n">
        <x:v>1789456499999</x:v>
      </x:c>
      <x:c r="P253" s="4" t="b">
        <x:v>0</x:v>
      </x:c>
      <x:c r="Q253" s="4" t="b">
        <x:v>1</x:v>
      </x:c>
      <x:c r="R253" s="4" t="b">
        <x:v>1</x:v>
      </x:c>
      <x:c r="S253" s="4" t="b">
        <x:v>1</x:v>
      </x:c>
      <x:c r="T253" s="4" t="b">
        <x:v>1</x:v>
      </x:c>
      <x:c r="U253" s="4" t="b">
        <x:v>1</x:v>
      </x:c>
      <x:c r="V253" s="10" t="n">
        <x:v>1789456521</x:v>
      </x:c>
      <x:c r="W253" s="3" t="str">
        <x:v>{"side": "BUY", "symbol": "SNDKBUSDT", "order_id": 347521937, "quantity": "0.01920000", "price": "1559.756875", "quote_amount": "29.94733200", "quote_asset": "USDT", "signal_candle_close_time": 1789456499999, "reason": "strategy buy signal", "entry_conditions": {"rsi_recovered": false, "near_support": true, "trend_ok": true, "reward_ok": true, "stop_risk_ok": true, "momentum_ok": true}, "environment": "production", "recorded_at": 1789456521}</x:v>
      </x:c>
      <x:c r="X253" s="10" t="n">
        <x:v>0</x:v>
      </x:c>
      <x:c r="Y253" s="8" t="n">
        <x:v>46280.30232638889</x:v>
      </x:c>
      <x:c r="Z253" s="3" t="str">
        <x:v>2026-09-15</x:v>
      </x:c>
      <x:c r="AA253" s="3" t="str">
        <x:v>ACTIVE / MIXED</x:v>
      </x:c>
      <x:c r="AB253" s="8" t="n">
        <x:v>46280.427152777775</x:v>
      </x:c>
      <x:c r="AC253" s="10" t="n">
        <x:v>15</x:v>
      </x:c>
      <x:c r="AD253" s="3" t="str">
        <x:v>rsi_recovered</x:v>
      </x:c>
      <x:c r="AE253" s="3"/>
      <x:c r="AF253" s="9"/>
      <x:c r="AG253" s="3"/>
      <x:c r="AH253" s="9"/>
      <x:c r="AI253" s="9"/>
      <x:c r="AJ253" s="3"/>
      <x:c r="AK253" s="9"/>
      <x:c r="AL253" s="3"/>
      <x:c r="AM253" s="3"/>
    </x:row>
    <x:row r="254" ht="21" customHeight="1">
      <x:c r="A254" s="8" t="n">
        <x:v>46280.43096064815</x:v>
      </x:c>
      <x:c r="B254" s="3" t="str">
        <x:v>ZECUSDT</x:v>
      </x:c>
      <x:c r="C254" s="3" t="str">
        <x:v>SELL</x:v>
      </x:c>
      <x:c r="D254" s="3" t="str">
        <x:v>6116541552</x:v>
      </x:c>
      <x:c r="E254" s="9" t="n">
        <x:v>0.026</x:v>
      </x:c>
      <x:c r="F254" s="9" t="n">
        <x:v>1149.52</x:v>
      </x:c>
      <x:c r="G254" s="9" t="n">
        <x:v>29.88752</x:v>
      </x:c>
      <x:c r="H254" s="9" t="n">
        <x:v>0.18122</x:v>
      </x:c>
      <x:c r="I254" s="3"/>
      <x:c r="J254" s="3" t="str">
        <x:v>gross only; actual fees not recorded</x:v>
      </x:c>
      <x:c r="K254" s="3" t="str">
        <x:v>take profit</x:v>
      </x:c>
      <x:c r="L254" s="3" t="str">
        <x:v>production</x:v>
      </x:c>
      <x:c r="M254" s="10" t="n">
        <x:v>872</x:v>
      </x:c>
      <x:c r="N254" s="3" t="str">
        <x:v>USDT</x:v>
      </x:c>
      <x:c r="O254" s="9"/>
      <x:c r="P254" s="3"/>
      <x:c r="Q254" s="3"/>
      <x:c r="R254" s="3"/>
      <x:c r="S254" s="3"/>
      <x:c r="T254" s="3"/>
      <x:c r="U254" s="3"/>
      <x:c r="V254" s="10" t="n">
        <x:v>1789456835</x:v>
      </x:c>
      <x:c r="W254" s="3" t="str">
        <x:v>{"side": "SELL", "symbol": "ZECUSDT", "order_id": 6116541552, "quantity": "0.02600000", "price": "1149.52", "quote_amount": "29.88752000", "quote_asset": "USDT", "reason": "take profit", "estimated_pnl_usdt": "0.1812200000", "environment": "production", "recorded_at": 1789456835}</x:v>
      </x:c>
      <x:c r="X254" s="10" t="n">
        <x:v>0</x:v>
      </x:c>
      <x:c r="Y254" s="8" t="n">
        <x:v>46280.30596064815</x:v>
      </x:c>
      <x:c r="Z254" s="3" t="str">
        <x:v>2026-09-15</x:v>
      </x:c>
      <x:c r="AA254" s="3" t="str">
        <x:v>ACTIVE / MIXED</x:v>
      </x:c>
      <x:c r="AB254" s="8" t="n">
        <x:v>46280.427152777775</x:v>
      </x:c>
      <x:c r="AC254" s="10" t="n">
        <x:v>329</x:v>
      </x:c>
      <x:c r="AD254" s="3"/>
      <x:c r="AE254" s="3"/>
      <x:c r="AF254" s="9"/>
      <x:c r="AG254" s="3"/>
      <x:c r="AH254" s="9"/>
      <x:c r="AI254" s="9"/>
      <x:c r="AJ254" s="3"/>
      <x:c r="AK254" s="9"/>
      <x:c r="AL254" s="3"/>
      <x:c r="AM254" s="3"/>
    </x:row>
    <x:row r="255" ht="21" customHeight="1">
      <x:c r="A255" s="8" t="n">
        <x:v>46280.43771990741</x:v>
      </x:c>
      <x:c r="B255" s="3" t="str">
        <x:v>CRCLBUSDT</x:v>
      </x:c>
      <x:c r="C255" s="3" t="str">
        <x:v>BUY</x:v>
      </x:c>
      <x:c r="D255" s="3" t="str">
        <x:v>89563568</x:v>
      </x:c>
      <x:c r="E255" s="9" t="n">
        <x:v>0.32</x:v>
      </x:c>
      <x:c r="F255" s="9" t="n">
        <x:v>93</x:v>
      </x:c>
      <x:c r="G255" s="9" t="n">
        <x:v>29.76</x:v>
      </x:c>
      <x:c r="H255" s="9"/>
      <x:c r="I255" s="3"/>
      <x:c r="J255" s="3" t="str">
        <x:v>gross only; actual fees not recorded</x:v>
      </x:c>
      <x:c r="K255" s="3" t="str">
        <x:v>strategy buy signal</x:v>
      </x:c>
      <x:c r="L255" s="3" t="str">
        <x:v>production</x:v>
      </x:c>
      <x:c r="M255" s="10" t="n">
        <x:v>873</x:v>
      </x:c>
      <x:c r="N255" s="3" t="str">
        <x:v>USDT</x:v>
      </x:c>
      <x:c r="O255" s="9" t="n">
        <x:v>1789457399999</x:v>
      </x:c>
      <x:c r="P255" s="4" t="b">
        <x:v>1</x:v>
      </x:c>
      <x:c r="Q255" s="4" t="b">
        <x:v>1</x:v>
      </x:c>
      <x:c r="R255" s="4" t="b">
        <x:v>1</x:v>
      </x:c>
      <x:c r="S255" s="4" t="b">
        <x:v>1</x:v>
      </x:c>
      <x:c r="T255" s="4" t="b">
        <x:v>1</x:v>
      </x:c>
      <x:c r="U255" s="4" t="b">
        <x:v>0</x:v>
      </x:c>
      <x:c r="V255" s="10" t="n">
        <x:v>1789457419</x:v>
      </x:c>
      <x:c r="W255" s="3" t="str">
        <x:v>{"side": "BUY", "symbol": "CRCLBUSDT", "order_id": 89563568, "quantity": "0.32000000", "price": "93", "quote_amount": "29.76000000", "quote_asset": "USDT", "signal_candle_close_time": 1789457399999, "reason": "strategy buy signal", "entry_conditions": {"rsi_recovered": true, "near_support": true, "trend_ok": true, "reward_ok": true, "stop_risk_ok": true, "momentum_ok": false}, "environment": "production", "recorded_at": 1789457419}</x:v>
      </x:c>
      <x:c r="X255" s="10" t="n">
        <x:v>0</x:v>
      </x:c>
      <x:c r="Y255" s="8" t="n">
        <x:v>46280.31271990741</x:v>
      </x:c>
      <x:c r="Z255" s="3" t="str">
        <x:v>2026-09-15</x:v>
      </x:c>
      <x:c r="AA255" s="3" t="str">
        <x:v>ACTIVE / MIXED</x:v>
      </x:c>
      <x:c r="AB255" s="8" t="n">
        <x:v>46280.437627314815</x:v>
      </x:c>
      <x:c r="AC255" s="10" t="n">
        <x:v>8</x:v>
      </x:c>
      <x:c r="AD255" s="3" t="str">
        <x:v>momentum_ok</x:v>
      </x:c>
      <x:c r="AE255" s="3"/>
      <x:c r="AF255" s="9"/>
      <x:c r="AG255" s="3"/>
      <x:c r="AH255" s="9"/>
      <x:c r="AI255" s="9"/>
      <x:c r="AJ255" s="3"/>
      <x:c r="AK255" s="9"/>
      <x:c r="AL255" s="3"/>
      <x:c r="AM255" s="3"/>
    </x:row>
    <x:row r="256" ht="21" customHeight="1">
      <x:c r="A256" s="8" t="n">
        <x:v>46280.44130787037</x:v>
      </x:c>
      <x:c r="B256" s="3" t="str">
        <x:v>CRCLBUSDT</x:v>
      </x:c>
      <x:c r="C256" s="3" t="str">
        <x:v>SELL</x:v>
      </x:c>
      <x:c r="D256" s="3" t="str">
        <x:v>89566998</x:v>
      </x:c>
      <x:c r="E256" s="9" t="n">
        <x:v>0.31</x:v>
      </x:c>
      <x:c r="F256" s="9" t="n">
        <x:v>92.60354838709678</x:v>
      </x:c>
      <x:c r="G256" s="9" t="n">
        <x:v>28.7071</x:v>
      </x:c>
      <x:c r="H256" s="9" t="n">
        <x:v>-0.1229</x:v>
      </x:c>
      <x:c r="I256" s="3"/>
      <x:c r="J256" s="3" t="str">
        <x:v>gross only; actual fees not recorded</x:v>
      </x:c>
      <x:c r="K256" s="3" t="str">
        <x:v>stop loss</x:v>
      </x:c>
      <x:c r="L256" s="3" t="str">
        <x:v>production</x:v>
      </x:c>
      <x:c r="M256" s="10" t="n">
        <x:v>874</x:v>
      </x:c>
      <x:c r="N256" s="3" t="str">
        <x:v>USDT</x:v>
      </x:c>
      <x:c r="O256" s="9"/>
      <x:c r="P256" s="3"/>
      <x:c r="Q256" s="3"/>
      <x:c r="R256" s="3"/>
      <x:c r="S256" s="3"/>
      <x:c r="T256" s="3"/>
      <x:c r="U256" s="3"/>
      <x:c r="V256" s="10" t="n">
        <x:v>1789457729</x:v>
      </x:c>
      <x:c r="W256" s="3" t="str">
        <x:v>{"side": "SELL", "symbol": "CRCLBUSDT", "order_id": 89566998, "quantity": "0.31000000", "price": "92.60354838709677419354838710", "quote_amount": "28.70710000", "quote_asset": "USDT", "reason": "stop loss", "estimated_pnl_usdt": "-0.1228999999999999999999999990", "environment": "production", "recorded_at": 1789457729}</x:v>
      </x:c>
      <x:c r="X256" s="10" t="n">
        <x:v>0</x:v>
      </x:c>
      <x:c r="Y256" s="8" t="n">
        <x:v>46280.31630787037</x:v>
      </x:c>
      <x:c r="Z256" s="3" t="str">
        <x:v>2026-09-15</x:v>
      </x:c>
      <x:c r="AA256" s="3" t="str">
        <x:v>ACTIVE / MIXED</x:v>
      </x:c>
      <x:c r="AB256" s="8" t="n">
        <x:v>46280.437627314815</x:v>
      </x:c>
      <x:c r="AC256" s="10" t="n">
        <x:v>318</x:v>
      </x:c>
      <x:c r="AD256" s="3"/>
      <x:c r="AE256" s="3"/>
      <x:c r="AF256" s="9"/>
      <x:c r="AG256" s="3"/>
      <x:c r="AH256" s="9"/>
      <x:c r="AI256" s="9"/>
      <x:c r="AJ256" s="3"/>
      <x:c r="AK256" s="9"/>
      <x:c r="AL256" s="3"/>
      <x:c r="AM256" s="3"/>
    </x:row>
    <x:row r="257" ht="21" customHeight="1">
      <x:c r="A257" s="8" t="n">
        <x:v>46280.441354166665</x:v>
      </x:c>
      <x:c r="B257" s="3" t="str">
        <x:v>TRUMPUSDT</x:v>
      </x:c>
      <x:c r="C257" s="3" t="str">
        <x:v>BUY</x:v>
      </x:c>
      <x:c r="D257" s="3" t="str">
        <x:v>2083871867</x:v>
      </x:c>
      <x:c r="E257" s="9" t="n">
        <x:v>15.298</x:v>
      </x:c>
      <x:c r="F257" s="9" t="n">
        <x:v>1.961</x:v>
      </x:c>
      <x:c r="G257" s="9" t="n">
        <x:v>29.999378</x:v>
      </x:c>
      <x:c r="H257" s="9"/>
      <x:c r="I257" s="3"/>
      <x:c r="J257" s="3" t="str">
        <x:v>gross only; actual fees not recorded</x:v>
      </x:c>
      <x:c r="K257" s="3" t="str">
        <x:v>strategy buy signal</x:v>
      </x:c>
      <x:c r="L257" s="3" t="str">
        <x:v>production</x:v>
      </x:c>
      <x:c r="M257" s="10" t="n">
        <x:v>875</x:v>
      </x:c>
      <x:c r="N257" s="3" t="str">
        <x:v>USDT</x:v>
      </x:c>
      <x:c r="O257" s="9" t="n">
        <x:v>1789457699999</x:v>
      </x:c>
      <x:c r="P257" s="4" t="b">
        <x:v>0</x:v>
      </x:c>
      <x:c r="Q257" s="4" t="b">
        <x:v>1</x:v>
      </x:c>
      <x:c r="R257" s="4" t="b">
        <x:v>1</x:v>
      </x:c>
      <x:c r="S257" s="4" t="b">
        <x:v>1</x:v>
      </x:c>
      <x:c r="T257" s="4" t="b">
        <x:v>1</x:v>
      </x:c>
      <x:c r="U257" s="4" t="b">
        <x:v>1</x:v>
      </x:c>
      <x:c r="V257" s="10" t="n">
        <x:v>1789457733</x:v>
      </x:c>
      <x:c r="W257" s="3" t="str">
        <x:v>{"side": "BUY", "symbol": "TRUMPUSDT", "order_id": 2083871867, "quantity": "15.29800000", "price": "1.961", "quote_amount": "29.99937800", "quote_asset": "USDT", "signal_candle_close_time": 1789457699999, "reason": "strategy buy signal", "entry_conditions": {"rsi_recovered": false, "near_support": true, "trend_ok": true, "reward_ok": true, "stop_risk_ok": true, "momentum_ok": true}, "environment": "production", "recorded_at": 1789457733}</x:v>
      </x:c>
      <x:c r="X257" s="10" t="n">
        <x:v>0</x:v>
      </x:c>
      <x:c r="Y257" s="8" t="n">
        <x:v>46280.316354166665</x:v>
      </x:c>
      <x:c r="Z257" s="3" t="str">
        <x:v>2026-09-15</x:v>
      </x:c>
      <x:c r="AA257" s="3" t="str">
        <x:v>ACTIVE / MIXED</x:v>
      </x:c>
      <x:c r="AB257" s="8" t="n">
        <x:v>46280.437627314815</x:v>
      </x:c>
      <x:c r="AC257" s="10" t="n">
        <x:v>322</x:v>
      </x:c>
      <x:c r="AD257" s="3" t="str">
        <x:v>rsi_recovered</x:v>
      </x:c>
      <x:c r="AE257" s="3"/>
      <x:c r="AF257" s="9"/>
      <x:c r="AG257" s="3"/>
      <x:c r="AH257" s="9"/>
      <x:c r="AI257" s="9"/>
      <x:c r="AJ257" s="3"/>
      <x:c r="AK257" s="9"/>
      <x:c r="AL257" s="3"/>
      <x:c r="AM257" s="3"/>
    </x:row>
    <x:row r="258" ht="21" customHeight="1">
      <x:c r="A258" s="8" t="n">
        <x:v>46280.44453703704</x:v>
      </x:c>
      <x:c r="B258" s="3" t="str">
        <x:v>ADAUSDT</x:v>
      </x:c>
      <x:c r="C258" s="3" t="str">
        <x:v>BUY</x:v>
      </x:c>
      <x:c r="D258" s="3" t="str">
        <x:v>8788887768</x:v>
      </x:c>
      <x:c r="E258" s="9" t="n">
        <x:v>146.9</x:v>
      </x:c>
      <x:c r="F258" s="9" t="n">
        <x:v>0.2042</x:v>
      </x:c>
      <x:c r="G258" s="9" t="n">
        <x:v>29.99698</x:v>
      </x:c>
      <x:c r="H258" s="9"/>
      <x:c r="I258" s="3"/>
      <x:c r="J258" s="3" t="str">
        <x:v>gross only; actual fees not recorded</x:v>
      </x:c>
      <x:c r="K258" s="3" t="str">
        <x:v>strategy buy signal</x:v>
      </x:c>
      <x:c r="L258" s="3" t="str">
        <x:v>production</x:v>
      </x:c>
      <x:c r="M258" s="10" t="n">
        <x:v>876</x:v>
      </x:c>
      <x:c r="N258" s="3" t="str">
        <x:v>USDT</x:v>
      </x:c>
      <x:c r="O258" s="9" t="n">
        <x:v>1789457999999</x:v>
      </x:c>
      <x:c r="P258" s="4" t="b">
        <x:v>1</x:v>
      </x:c>
      <x:c r="Q258" s="4" t="b">
        <x:v>1</x:v>
      </x:c>
      <x:c r="R258" s="4" t="b">
        <x:v>1</x:v>
      </x:c>
      <x:c r="S258" s="4" t="b">
        <x:v>1</x:v>
      </x:c>
      <x:c r="T258" s="4" t="b">
        <x:v>1</x:v>
      </x:c>
      <x:c r="U258" s="4" t="b">
        <x:v>0</x:v>
      </x:c>
      <x:c r="V258" s="10" t="n">
        <x:v>1789458008</x:v>
      </x:c>
      <x:c r="W258" s="3" t="str">
        <x:v>{"side": "BUY", "symbol": "ADAUSDT", "order_id": 8788887768, "quantity": "146.90000000", "price": "0.2042", "quote_amount": "29.99698000", "quote_asset": "USDT", "signal_candle_close_time": 1789457999999, "reason": "strategy buy signal", "entry_conditions": {"rsi_recovered": true, "near_support": true, "trend_ok": true, "reward_ok": true, "stop_risk_ok": true, "momentum_ok": false}, "environment": "production", "recorded_at": 1789458008}</x:v>
      </x:c>
      <x:c r="X258" s="10" t="n">
        <x:v>0</x:v>
      </x:c>
      <x:c r="Y258" s="8" t="n">
        <x:v>46280.31953703704</x:v>
      </x:c>
      <x:c r="Z258" s="3" t="str">
        <x:v>2026-09-15</x:v>
      </x:c>
      <x:c r="AA258" s="3" t="str">
        <x:v>ACTIVE / MIXED</x:v>
      </x:c>
      <x:c r="AB258" s="8" t="n">
        <x:v>46280.437627314815</x:v>
      </x:c>
      <x:c r="AC258" s="10" t="n">
        <x:v>597</x:v>
      </x:c>
      <x:c r="AD258" s="3" t="str">
        <x:v>momentum_ok</x:v>
      </x:c>
      <x:c r="AE258" s="3"/>
      <x:c r="AF258" s="9"/>
      <x:c r="AG258" s="3"/>
      <x:c r="AH258" s="9"/>
      <x:c r="AI258" s="9"/>
      <x:c r="AJ258" s="3"/>
      <x:c r="AK258" s="9"/>
      <x:c r="AL258" s="3"/>
      <x:c r="AM258" s="3"/>
    </x:row>
    <x:row r="259" ht="21" customHeight="1">
      <x:c r="A259" s="8" t="n">
        <x:v>46280.44810185185</x:v>
      </x:c>
      <x:c r="B259" s="3" t="str">
        <x:v>SOXLBUSDT</x:v>
      </x:c>
      <x:c r="C259" s="3" t="str">
        <x:v>BUY</x:v>
      </x:c>
      <x:c r="D259" s="3" t="str">
        <x:v>183741846</x:v>
      </x:c>
      <x:c r="E259" s="9" t="n">
        <x:v>0.277</x:v>
      </x:c>
      <x:c r="F259" s="9" t="n">
        <x:v>101.74</x:v>
      </x:c>
      <x:c r="G259" s="9" t="n">
        <x:v>28.18198</x:v>
      </x:c>
      <x:c r="H259" s="9"/>
      <x:c r="I259" s="3"/>
      <x:c r="J259" s="3" t="str">
        <x:v>gross only; actual fees not recorded</x:v>
      </x:c>
      <x:c r="K259" s="3" t="str">
        <x:v>strategy buy signal</x:v>
      </x:c>
      <x:c r="L259" s="3" t="str">
        <x:v>production</x:v>
      </x:c>
      <x:c r="M259" s="10" t="n">
        <x:v>877</x:v>
      </x:c>
      <x:c r="N259" s="3" t="str">
        <x:v>USDT</x:v>
      </x:c>
      <x:c r="O259" s="9" t="n">
        <x:v>1789458299999</x:v>
      </x:c>
      <x:c r="P259" s="4" t="b">
        <x:v>0</x:v>
      </x:c>
      <x:c r="Q259" s="4" t="b">
        <x:v>1</x:v>
      </x:c>
      <x:c r="R259" s="4" t="b">
        <x:v>1</x:v>
      </x:c>
      <x:c r="S259" s="4" t="b">
        <x:v>1</x:v>
      </x:c>
      <x:c r="T259" s="4" t="b">
        <x:v>1</x:v>
      </x:c>
      <x:c r="U259" s="4" t="b">
        <x:v>1</x:v>
      </x:c>
      <x:c r="V259" s="10" t="n">
        <x:v>1789458316</x:v>
      </x:c>
      <x:c r="W259" s="3" t="str">
        <x:v>{"side": "BUY", "symbol": "SOXLBUSDT", "order_id": 183741846, "quantity": "0.27700000", "price": "101.74", "quote_amount": "28.18198000", "quote_asset": "USDT", "signal_candle_close_time": 1789458299999, "reason": "strategy buy signal", "entry_conditions": {"rsi_recovered": false, "near_support": true, "trend_ok": true, "reward_ok": true, "stop_risk_ok": true, "momentum_ok": true}, "environment": "production", "recorded_at": 1789458316}</x:v>
      </x:c>
      <x:c r="X259" s="10" t="n">
        <x:v>0</x:v>
      </x:c>
      <x:c r="Y259" s="8" t="n">
        <x:v>46280.32310185185</x:v>
      </x:c>
      <x:c r="Z259" s="3" t="str">
        <x:v>2026-09-15</x:v>
      </x:c>
      <x:c r="AA259" s="3" t="str">
        <x:v>ACTIVE / MIXED</x:v>
      </x:c>
      <x:c r="AB259" s="8" t="n">
        <x:v>46280.437627314815</x:v>
      </x:c>
      <x:c r="AC259" s="10" t="n">
        <x:v>905</x:v>
      </x:c>
      <x:c r="AD259" s="3" t="str">
        <x:v>rsi_recovered</x:v>
      </x:c>
      <x:c r="AE259" s="3"/>
      <x:c r="AF259" s="9"/>
      <x:c r="AG259" s="3"/>
      <x:c r="AH259" s="9"/>
      <x:c r="AI259" s="9"/>
      <x:c r="AJ259" s="3"/>
      <x:c r="AK259" s="9"/>
      <x:c r="AL259" s="3"/>
      <x:c r="AM259" s="3"/>
    </x:row>
    <x:row r="260" ht="21" customHeight="1">
      <x:c r="A260" s="8" t="n">
        <x:v>46280.45496527778</x:v>
      </x:c>
      <x:c r="B260" s="3" t="str">
        <x:v>ARBUSDT</x:v>
      </x:c>
      <x:c r="C260" s="3" t="str">
        <x:v>SELL</x:v>
      </x:c>
      <x:c r="D260" s="3" t="str">
        <x:v>3680190540</x:v>
      </x:c>
      <x:c r="E260" s="9" t="n">
        <x:v>224.5</x:v>
      </x:c>
      <x:c r="F260" s="9" t="n">
        <x:v>0.1326</x:v>
      </x:c>
      <x:c r="G260" s="9" t="n">
        <x:v>29.7687</x:v>
      </x:c>
      <x:c r="H260" s="9" t="n">
        <x:v>-0.20205</x:v>
      </x:c>
      <x:c r="I260" s="3"/>
      <x:c r="J260" s="3" t="str">
        <x:v>gross only; actual fees not recorded</x:v>
      </x:c>
      <x:c r="K260" s="3" t="str">
        <x:v>stop loss</x:v>
      </x:c>
      <x:c r="L260" s="3" t="str">
        <x:v>production</x:v>
      </x:c>
      <x:c r="M260" s="10" t="n">
        <x:v>878</x:v>
      </x:c>
      <x:c r="N260" s="3" t="str">
        <x:v>USDT</x:v>
      </x:c>
      <x:c r="O260" s="9"/>
      <x:c r="P260" s="3"/>
      <x:c r="Q260" s="3"/>
      <x:c r="R260" s="3"/>
      <x:c r="S260" s="3"/>
      <x:c r="T260" s="3"/>
      <x:c r="U260" s="3"/>
      <x:c r="V260" s="10" t="n">
        <x:v>1789458909</x:v>
      </x:c>
      <x:c r="W260" s="3" t="str">
        <x:v>{"side": "SELL", "symbol": "ARBUSDT", "order_id": 3680190540, "quantity": "224.50000000", "price": "0.1326", "quote_amount": "29.76870000", "quote_asset": "USDT", "reason": "stop loss", "estimated_pnl_usdt": "-0.202050000000", "environment": "production", "recorded_at": 1789458909}</x:v>
      </x:c>
      <x:c r="X260" s="10" t="n">
        <x:v>0</x:v>
      </x:c>
      <x:c r="Y260" s="8" t="n">
        <x:v>46280.32996527778</x:v>
      </x:c>
      <x:c r="Z260" s="3" t="str">
        <x:v>2026-09-15</x:v>
      </x:c>
      <x:c r="AA260" s="3" t="str">
        <x:v>ACTIVE / WEAK</x:v>
      </x:c>
      <x:c r="AB260" s="8" t="n">
        <x:v>46280.4484375</x:v>
      </x:c>
      <x:c r="AC260" s="10" t="n">
        <x:v>564</x:v>
      </x:c>
      <x:c r="AD260" s="3"/>
      <x:c r="AE260" s="3"/>
      <x:c r="AF260" s="9"/>
      <x:c r="AG260" s="3"/>
      <x:c r="AH260" s="9"/>
      <x:c r="AI260" s="9"/>
      <x:c r="AJ260" s="3"/>
      <x:c r="AK260" s="9"/>
      <x:c r="AL260" s="3"/>
      <x:c r="AM260" s="3"/>
    </x:row>
    <x:row r="261" ht="21" customHeight="1">
      <x:c r="A261" s="8" t="n">
        <x:v>46280.455034722225</x:v>
      </x:c>
      <x:c r="B261" s="3" t="str">
        <x:v>ADAUSDT</x:v>
      </x:c>
      <x:c r="C261" s="3" t="str">
        <x:v>SELL</x:v>
      </x:c>
      <x:c r="D261" s="3" t="str">
        <x:v>8788896140</x:v>
      </x:c>
      <x:c r="E261" s="9" t="n">
        <x:v>146.8</x:v>
      </x:c>
      <x:c r="F261" s="9" t="n">
        <x:v>0.2033</x:v>
      </x:c>
      <x:c r="G261" s="9" t="n">
        <x:v>29.84444</x:v>
      </x:c>
      <x:c r="H261" s="9" t="n">
        <x:v>-0.13212</x:v>
      </x:c>
      <x:c r="I261" s="3"/>
      <x:c r="J261" s="3" t="str">
        <x:v>gross only; actual fees not recorded</x:v>
      </x:c>
      <x:c r="K261" s="3" t="str">
        <x:v>stop loss</x:v>
      </x:c>
      <x:c r="L261" s="3" t="str">
        <x:v>production</x:v>
      </x:c>
      <x:c r="M261" s="10" t="n">
        <x:v>879</x:v>
      </x:c>
      <x:c r="N261" s="3" t="str">
        <x:v>USDT</x:v>
      </x:c>
      <x:c r="O261" s="9"/>
      <x:c r="P261" s="3"/>
      <x:c r="Q261" s="3"/>
      <x:c r="R261" s="3"/>
      <x:c r="S261" s="3"/>
      <x:c r="T261" s="3"/>
      <x:c r="U261" s="3"/>
      <x:c r="V261" s="10" t="n">
        <x:v>1789458915</x:v>
      </x:c>
      <x:c r="W261" s="3" t="str">
        <x:v>{"side": "SELL", "symbol": "ADAUSDT", "order_id": 8788896140, "quantity": "146.80000000", "price": "0.2033", "quote_amount": "29.84444000", "quote_asset": "USDT", "reason": "stop loss", "estimated_pnl_usdt": "-0.132120000000", "environment": "production", "recorded_at": 1789458915}</x:v>
      </x:c>
      <x:c r="X261" s="10" t="n">
        <x:v>0</x:v>
      </x:c>
      <x:c r="Y261" s="8" t="n">
        <x:v>46280.330034722225</x:v>
      </x:c>
      <x:c r="Z261" s="3" t="str">
        <x:v>2026-09-15</x:v>
      </x:c>
      <x:c r="AA261" s="3" t="str">
        <x:v>ACTIVE / WEAK</x:v>
      </x:c>
      <x:c r="AB261" s="8" t="n">
        <x:v>46280.4484375</x:v>
      </x:c>
      <x:c r="AC261" s="10" t="n">
        <x:v>570</x:v>
      </x:c>
      <x:c r="AD261" s="3"/>
      <x:c r="AE261" s="3"/>
      <x:c r="AF261" s="9"/>
      <x:c r="AG261" s="3"/>
      <x:c r="AH261" s="9"/>
      <x:c r="AI261" s="9"/>
      <x:c r="AJ261" s="3"/>
      <x:c r="AK261" s="9"/>
      <x:c r="AL261" s="3"/>
      <x:c r="AM261" s="3"/>
    </x:row>
    <x:row r="262" ht="21" customHeight="1">
      <x:c r="A262" s="8" t="n">
        <x:v>46280.45858796296</x:v>
      </x:c>
      <x:c r="B262" s="3" t="str">
        <x:v>XLMUSDT</x:v>
      </x:c>
      <x:c r="C262" s="3" t="str">
        <x:v>SELL</x:v>
      </x:c>
      <x:c r="D262" s="3" t="str">
        <x:v>3859331828</x:v>
      </x:c>
      <x:c r="E262" s="9" t="n">
        <x:v>156</x:v>
      </x:c>
      <x:c r="F262" s="9" t="n">
        <x:v>0.1911</x:v>
      </x:c>
      <x:c r="G262" s="9" t="n">
        <x:v>29.8116</x:v>
      </x:c>
      <x:c r="H262" s="9" t="n">
        <x:v>-0.1872</x:v>
      </x:c>
      <x:c r="I262" s="3"/>
      <x:c r="J262" s="3" t="str">
        <x:v>gross only; actual fees not recorded</x:v>
      </x:c>
      <x:c r="K262" s="3" t="str">
        <x:v>stop loss</x:v>
      </x:c>
      <x:c r="L262" s="3" t="str">
        <x:v>production</x:v>
      </x:c>
      <x:c r="M262" s="10" t="n">
        <x:v>880</x:v>
      </x:c>
      <x:c r="N262" s="3" t="str">
        <x:v>USDT</x:v>
      </x:c>
      <x:c r="O262" s="9"/>
      <x:c r="P262" s="3"/>
      <x:c r="Q262" s="3"/>
      <x:c r="R262" s="3"/>
      <x:c r="S262" s="3"/>
      <x:c r="T262" s="3"/>
      <x:c r="U262" s="3"/>
      <x:c r="V262" s="10" t="n">
        <x:v>1789459222</x:v>
      </x:c>
      <x:c r="W262" s="3" t="str">
        <x:v>{"side": "SELL", "symbol": "XLMUSDT", "order_id": 3859331828, "quantity": "156.00000000", "price": "0.1911", "quote_amount": "29.81160000", "quote_asset": "USDT", "reason": "stop loss", "estimated_pnl_usdt": "-0.187200000000", "environment": "production", "recorded_at": 1789459222}</x:v>
      </x:c>
      <x:c r="X262" s="10" t="n">
        <x:v>0</x:v>
      </x:c>
      <x:c r="Y262" s="8" t="n">
        <x:v>46280.33358796296</x:v>
      </x:c>
      <x:c r="Z262" s="3" t="str">
        <x:v>2026-09-15</x:v>
      </x:c>
      <x:c r="AA262" s="3" t="str">
        <x:v>ACTIVE / WEAK</x:v>
      </x:c>
      <x:c r="AB262" s="8" t="n">
        <x:v>46280.4484375</x:v>
      </x:c>
      <x:c r="AC262" s="10" t="n">
        <x:v>877</x:v>
      </x:c>
      <x:c r="AD262" s="3"/>
      <x:c r="AE262" s="3"/>
      <x:c r="AF262" s="9"/>
      <x:c r="AG262" s="3"/>
      <x:c r="AH262" s="9"/>
      <x:c r="AI262" s="9"/>
      <x:c r="AJ262" s="3"/>
      <x:c r="AK262" s="9"/>
      <x:c r="AL262" s="3"/>
      <x:c r="AM262" s="3"/>
    </x:row>
    <x:row r="263" ht="21" customHeight="1">
      <x:c r="A263" s="8" t="n">
        <x:v>46280.461875</x:v>
      </x:c>
      <x:c r="B263" s="3" t="str">
        <x:v>SNDKBUSDT</x:v>
      </x:c>
      <x:c r="C263" s="3" t="str">
        <x:v>SELL</x:v>
      </x:c>
      <x:c r="D263" s="3" t="str">
        <x:v>347605486</x:v>
      </x:c>
      <x:c r="E263" s="9" t="n">
        <x:v>0.0192</x:v>
      </x:c>
      <x:c r="F263" s="9" t="n">
        <x:v>1554.571875</x:v>
      </x:c>
      <x:c r="G263" s="9" t="n">
        <x:v>29.84778</x:v>
      </x:c>
      <x:c r="H263" s="9" t="n">
        <x:v>-0.099552</x:v>
      </x:c>
      <x:c r="I263" s="3"/>
      <x:c r="J263" s="3" t="str">
        <x:v>gross only; actual fees not recorded</x:v>
      </x:c>
      <x:c r="K263" s="3" t="str">
        <x:v>stop loss</x:v>
      </x:c>
      <x:c r="L263" s="3" t="str">
        <x:v>production</x:v>
      </x:c>
      <x:c r="M263" s="10" t="n">
        <x:v>881</x:v>
      </x:c>
      <x:c r="N263" s="3" t="str">
        <x:v>USDT</x:v>
      </x:c>
      <x:c r="O263" s="9"/>
      <x:c r="P263" s="3"/>
      <x:c r="Q263" s="3"/>
      <x:c r="R263" s="3"/>
      <x:c r="S263" s="3"/>
      <x:c r="T263" s="3"/>
      <x:c r="U263" s="3"/>
      <x:c r="V263" s="10" t="n">
        <x:v>1789459506</x:v>
      </x:c>
      <x:c r="W263" s="3" t="str">
        <x:v>{"side": "SELL", "symbol": "SNDKBUSDT", "order_id": 347605486, "quantity": "0.01920000", "price": "1554.571875", "quote_amount": "29.84778000", "quote_asset": "USDT", "reason": "stop loss", "estimated_pnl_usdt": "-0.09955200000000", "environment": "production", "recorded_at": 1789459506}</x:v>
      </x:c>
      <x:c r="X263" s="10" t="n">
        <x:v>0</x:v>
      </x:c>
      <x:c r="Y263" s="8" t="n">
        <x:v>46280.336875</x:v>
      </x:c>
      <x:c r="Z263" s="3" t="str">
        <x:v>2026-09-15</x:v>
      </x:c>
      <x:c r="AA263" s="3" t="str">
        <x:v>ACTIVE / WEAK</x:v>
      </x:c>
      <x:c r="AB263" s="8" t="n">
        <x:v>46280.45891203704</x:v>
      </x:c>
      <x:c r="AC263" s="10" t="n">
        <x:v>256</x:v>
      </x:c>
      <x:c r="AD263" s="3"/>
      <x:c r="AE263" s="3"/>
      <x:c r="AF263" s="9"/>
      <x:c r="AG263" s="3"/>
      <x:c r="AH263" s="9"/>
      <x:c r="AI263" s="9"/>
      <x:c r="AJ263" s="3"/>
      <x:c r="AK263" s="9"/>
      <x:c r="AL263" s="3"/>
      <x:c r="AM263" s="3"/>
    </x:row>
    <x:row r="264" ht="21" customHeight="1">
      <x:c r="A264" s="8" t="n">
        <x:v>46280.46221064815</x:v>
      </x:c>
      <x:c r="B264" s="3" t="str">
        <x:v>SOXLBUSDT</x:v>
      </x:c>
      <x:c r="C264" s="3" t="str">
        <x:v>SELL</x:v>
      </x:c>
      <x:c r="D264" s="3" t="str">
        <x:v>183772269</x:v>
      </x:c>
      <x:c r="E264" s="9" t="n">
        <x:v>0.277</x:v>
      </x:c>
      <x:c r="F264" s="9" t="n">
        <x:v>100.97</x:v>
      </x:c>
      <x:c r="G264" s="9" t="n">
        <x:v>27.96869</x:v>
      </x:c>
      <x:c r="H264" s="9" t="n">
        <x:v>-0.21329</x:v>
      </x:c>
      <x:c r="I264" s="3"/>
      <x:c r="J264" s="3" t="str">
        <x:v>gross only; actual fees not recorded</x:v>
      </x:c>
      <x:c r="K264" s="3" t="str">
        <x:v>stop loss</x:v>
      </x:c>
      <x:c r="L264" s="3" t="str">
        <x:v>production</x:v>
      </x:c>
      <x:c r="M264" s="10" t="n">
        <x:v>882</x:v>
      </x:c>
      <x:c r="N264" s="3" t="str">
        <x:v>USDT</x:v>
      </x:c>
      <x:c r="O264" s="9"/>
      <x:c r="P264" s="3"/>
      <x:c r="Q264" s="3"/>
      <x:c r="R264" s="3"/>
      <x:c r="S264" s="3"/>
      <x:c r="T264" s="3"/>
      <x:c r="U264" s="3"/>
      <x:c r="V264" s="10" t="n">
        <x:v>1789459535</x:v>
      </x:c>
      <x:c r="W264" s="3" t="str">
        <x:v>{"side": "SELL", "symbol": "SOXLBUSDT", "order_id": 183772269, "quantity": "0.27700000", "price": "100.97", "quote_amount": "27.96869000", "quote_asset": "USDT", "reason": "stop loss", "estimated_pnl_usdt": "-0.2132900000", "environment": "production", "recorded_at": 1789459535}</x:v>
      </x:c>
      <x:c r="X264" s="10" t="n">
        <x:v>0</x:v>
      </x:c>
      <x:c r="Y264" s="8" t="n">
        <x:v>46280.33721064815</x:v>
      </x:c>
      <x:c r="Z264" s="3" t="str">
        <x:v>2026-09-15</x:v>
      </x:c>
      <x:c r="AA264" s="3" t="str">
        <x:v>ACTIVE / WEAK</x:v>
      </x:c>
      <x:c r="AB264" s="8" t="n">
        <x:v>46280.45891203704</x:v>
      </x:c>
      <x:c r="AC264" s="10" t="n">
        <x:v>285</x:v>
      </x:c>
      <x:c r="AD264" s="3"/>
      <x:c r="AE264" s="3"/>
      <x:c r="AF264" s="9"/>
      <x:c r="AG264" s="3"/>
      <x:c r="AH264" s="9"/>
      <x:c r="AI264" s="9"/>
      <x:c r="AJ264" s="3"/>
      <x:c r="AK264" s="9"/>
      <x:c r="AL264" s="3"/>
      <x:c r="AM264" s="3"/>
    </x:row>
    <x:row r="265" ht="21" customHeight="1">
      <x:c r="A265" s="8" t="n">
        <x:v>46280.465474537035</x:v>
      </x:c>
      <x:c r="B265" s="3" t="str">
        <x:v>TRUMPUSDT</x:v>
      </x:c>
      <x:c r="C265" s="3" t="str">
        <x:v>SELL</x:v>
      </x:c>
      <x:c r="D265" s="3" t="str">
        <x:v>2083884882</x:v>
      </x:c>
      <x:c r="E265" s="9" t="n">
        <x:v>15.283</x:v>
      </x:c>
      <x:c r="F265" s="9" t="n">
        <x:v>1.95</x:v>
      </x:c>
      <x:c r="G265" s="9" t="n">
        <x:v>29.80185</x:v>
      </x:c>
      <x:c r="H265" s="9" t="n">
        <x:v>-0.168113</x:v>
      </x:c>
      <x:c r="I265" s="3"/>
      <x:c r="J265" s="3" t="str">
        <x:v>gross only; actual fees not recorded</x:v>
      </x:c>
      <x:c r="K265" s="3" t="str">
        <x:v>stop loss</x:v>
      </x:c>
      <x:c r="L265" s="3" t="str">
        <x:v>production</x:v>
      </x:c>
      <x:c r="M265" s="10" t="n">
        <x:v>883</x:v>
      </x:c>
      <x:c r="N265" s="3" t="str">
        <x:v>USDT</x:v>
      </x:c>
      <x:c r="O265" s="9"/>
      <x:c r="P265" s="3"/>
      <x:c r="Q265" s="3"/>
      <x:c r="R265" s="3"/>
      <x:c r="S265" s="3"/>
      <x:c r="T265" s="3"/>
      <x:c r="U265" s="3"/>
      <x:c r="V265" s="10" t="n">
        <x:v>1789459817</x:v>
      </x:c>
      <x:c r="W265" s="3" t="str">
        <x:v>{"side": "SELL", "symbol": "TRUMPUSDT", "order_id": 2083884882, "quantity": "15.28300000", "price": "1.95", "quote_amount": "29.80185000", "quote_asset": "USDT", "reason": "stop loss", "estimated_pnl_usdt": "-0.16811300000", "environment": "production", "recorded_at": 1789459817}</x:v>
      </x:c>
      <x:c r="X265" s="10" t="n">
        <x:v>0</x:v>
      </x:c>
      <x:c r="Y265" s="8" t="n">
        <x:v>46280.340474537035</x:v>
      </x:c>
      <x:c r="Z265" s="3" t="str">
        <x:v>2026-09-15</x:v>
      </x:c>
      <x:c r="AA265" s="3" t="str">
        <x:v>ACTIVE / WEAK</x:v>
      </x:c>
      <x:c r="AB265" s="8" t="n">
        <x:v>46280.45891203704</x:v>
      </x:c>
      <x:c r="AC265" s="10" t="n">
        <x:v>567</x:v>
      </x:c>
      <x:c r="AD265" s="3"/>
      <x:c r="AE265" s="3"/>
      <x:c r="AF265" s="9"/>
      <x:c r="AG265" s="3"/>
      <x:c r="AH265" s="9"/>
      <x:c r="AI265" s="9"/>
      <x:c r="AJ265" s="3"/>
      <x:c r="AK265" s="9"/>
      <x:c r="AL265" s="3"/>
      <x:c r="AM265" s="3"/>
    </x:row>
    <x:row r="266" ht="21" customHeight="1">
      <x:c r="A266" s="8" t="n">
        <x:v>46280.54199074074</x:v>
      </x:c>
      <x:c r="B266" s="3" t="str">
        <x:v>LINKUSDT</x:v>
      </x:c>
      <x:c r="C266" s="3" t="str">
        <x:v>BUY</x:v>
      </x:c>
      <x:c r="D266" s="3" t="str">
        <x:v>8013219021</x:v>
      </x:c>
      <x:c r="E266" s="9" t="n">
        <x:v>2.63</x:v>
      </x:c>
      <x:c r="F266" s="9" t="n">
        <x:v>11.393</x:v>
      </x:c>
      <x:c r="G266" s="9" t="n">
        <x:v>29.96359</x:v>
      </x:c>
      <x:c r="H266" s="9"/>
      <x:c r="I266" s="3"/>
      <x:c r="J266" s="3" t="str">
        <x:v>gross only; actual fees not recorded</x:v>
      </x:c>
      <x:c r="K266" s="3" t="str">
        <x:v>strategy buy signal</x:v>
      </x:c>
      <x:c r="L266" s="3" t="str">
        <x:v>production</x:v>
      </x:c>
      <x:c r="M266" s="10" t="n">
        <x:v>884</x:v>
      </x:c>
      <x:c r="N266" s="3" t="str">
        <x:v>USDT</x:v>
      </x:c>
      <x:c r="O266" s="9" t="n">
        <x:v>1789466399999</x:v>
      </x:c>
      <x:c r="P266" s="4" t="b">
        <x:v>0</x:v>
      </x:c>
      <x:c r="Q266" s="4" t="b">
        <x:v>1</x:v>
      </x:c>
      <x:c r="R266" s="4" t="b">
        <x:v>1</x:v>
      </x:c>
      <x:c r="S266" s="4" t="b">
        <x:v>1</x:v>
      </x:c>
      <x:c r="T266" s="4" t="b">
        <x:v>1</x:v>
      </x:c>
      <x:c r="U266" s="4" t="b">
        <x:v>1</x:v>
      </x:c>
      <x:c r="V266" s="10" t="n">
        <x:v>1789466428</x:v>
      </x:c>
      <x:c r="W266" s="3" t="str">
        <x:v>{"side": "BUY", "symbol": "LINKUSDT", "order_id": 8013219021, "quantity": "2.63000000", "price": "11.393", "quote_amount": "29.96359000", "quote_asset": "USDT", "signal_candle_close_time": 1789466399999, "reason": "strategy buy signal", "entry_conditions": {"rsi_recovered": false, "near_support": true, "trend_ok": true, "reward_ok": true, "stop_risk_ok": true, "momentum_ok": true}, "environment": "production", "recorded_at": 1789466428}</x:v>
      </x:c>
      <x:c r="X266" s="10" t="n">
        <x:v>0</x:v>
      </x:c>
      <x:c r="Y266" s="8" t="n">
        <x:v>46280.41699074074</x:v>
      </x:c>
      <x:c r="Z266" s="3" t="str">
        <x:v>2026-09-15</x:v>
      </x:c>
      <x:c r="AA266" s="3" t="str">
        <x:v>ACTIVE / MIXED</x:v>
      </x:c>
      <x:c r="AB266" s="8" t="n">
        <x:v>46280.53266203704</x:v>
      </x:c>
      <x:c r="AC266" s="10" t="n">
        <x:v>806</x:v>
      </x:c>
      <x:c r="AD266" s="3" t="str">
        <x:v>rsi_recovered</x:v>
      </x:c>
      <x:c r="AE266" s="3"/>
      <x:c r="AF266" s="9"/>
      <x:c r="AG266" s="3"/>
      <x:c r="AH266" s="9"/>
      <x:c r="AI266" s="9"/>
      <x:c r="AJ266" s="3"/>
      <x:c r="AK266" s="9"/>
      <x:c r="AL266" s="3"/>
      <x:c r="AM266" s="3"/>
    </x:row>
    <x:row r="267" ht="21" customHeight="1">
      <x:c r="A267" s="8" t="n">
        <x:v>46280.542025462964</x:v>
      </x:c>
      <x:c r="B267" s="3" t="str">
        <x:v>ADAUSDT</x:v>
      </x:c>
      <x:c r="C267" s="3" t="str">
        <x:v>BUY</x:v>
      </x:c>
      <x:c r="D267" s="3" t="str">
        <x:v>8788955445</x:v>
      </x:c>
      <x:c r="E267" s="9" t="n">
        <x:v>146.1</x:v>
      </x:c>
      <x:c r="F267" s="9" t="n">
        <x:v>0.2052</x:v>
      </x:c>
      <x:c r="G267" s="9" t="n">
        <x:v>29.97972</x:v>
      </x:c>
      <x:c r="H267" s="9"/>
      <x:c r="I267" s="3"/>
      <x:c r="J267" s="3" t="str">
        <x:v>gross only; actual fees not recorded</x:v>
      </x:c>
      <x:c r="K267" s="3" t="str">
        <x:v>strategy buy signal</x:v>
      </x:c>
      <x:c r="L267" s="3" t="str">
        <x:v>production</x:v>
      </x:c>
      <x:c r="M267" s="10" t="n">
        <x:v>885</x:v>
      </x:c>
      <x:c r="N267" s="3" t="str">
        <x:v>USDT</x:v>
      </x:c>
      <x:c r="O267" s="9" t="n">
        <x:v>1789466399999</x:v>
      </x:c>
      <x:c r="P267" s="4" t="b">
        <x:v>0</x:v>
      </x:c>
      <x:c r="Q267" s="4" t="b">
        <x:v>1</x:v>
      </x:c>
      <x:c r="R267" s="4" t="b">
        <x:v>1</x:v>
      </x:c>
      <x:c r="S267" s="4" t="b">
        <x:v>1</x:v>
      </x:c>
      <x:c r="T267" s="4" t="b">
        <x:v>1</x:v>
      </x:c>
      <x:c r="U267" s="4" t="b">
        <x:v>1</x:v>
      </x:c>
      <x:c r="V267" s="10" t="n">
        <x:v>1789466431</x:v>
      </x:c>
      <x:c r="W267" s="3" t="str">
        <x:v>{"side": "BUY", "symbol": "ADAUSDT", "order_id": 8788955445, "quantity": "146.10000000", "price": "0.2052", "quote_amount": "29.97972000", "quote_asset": "USDT", "signal_candle_close_time": 1789466399999, "reason": "strategy buy signal", "entry_conditions": {"rsi_recovered": false, "near_support": true, "trend_ok": true, "reward_ok": true, "stop_risk_ok": true, "momentum_ok": true}, "environment": "production", "recorded_at": 1789466431}</x:v>
      </x:c>
      <x:c r="X267" s="10" t="n">
        <x:v>0</x:v>
      </x:c>
      <x:c r="Y267" s="8" t="n">
        <x:v>46280.417025462964</x:v>
      </x:c>
      <x:c r="Z267" s="3" t="str">
        <x:v>2026-09-15</x:v>
      </x:c>
      <x:c r="AA267" s="3" t="str">
        <x:v>ACTIVE / MIXED</x:v>
      </x:c>
      <x:c r="AB267" s="8" t="n">
        <x:v>46280.53266203704</x:v>
      </x:c>
      <x:c r="AC267" s="10" t="n">
        <x:v>809</x:v>
      </x:c>
      <x:c r="AD267" s="3" t="str">
        <x:v>rsi_recovered</x:v>
      </x:c>
      <x:c r="AE267" s="3"/>
      <x:c r="AF267" s="9"/>
      <x:c r="AG267" s="3"/>
      <x:c r="AH267" s="9"/>
      <x:c r="AI267" s="9"/>
      <x:c r="AJ267" s="3"/>
      <x:c r="AK267" s="9"/>
      <x:c r="AL267" s="3"/>
      <x:c r="AM267" s="3"/>
    </x:row>
    <x:row r="268" ht="21" customHeight="1">
      <x:c r="A268" s="8" t="n">
        <x:v>46280.54523148148</x:v>
      </x:c>
      <x:c r="B268" s="3" t="str">
        <x:v>CRCLBUSDT</x:v>
      </x:c>
      <x:c r="C268" s="3" t="str">
        <x:v>BUY</x:v>
      </x:c>
      <x:c r="D268" s="3" t="str">
        <x:v>89704418</x:v>
      </x:c>
      <x:c r="E268" s="9" t="n">
        <x:v>0.32</x:v>
      </x:c>
      <x:c r="F268" s="9" t="n">
        <x:v>92.3</x:v>
      </x:c>
      <x:c r="G268" s="9" t="n">
        <x:v>29.536</x:v>
      </x:c>
      <x:c r="H268" s="9"/>
      <x:c r="I268" s="3"/>
      <x:c r="J268" s="3" t="str">
        <x:v>gross only; actual fees not recorded</x:v>
      </x:c>
      <x:c r="K268" s="3" t="str">
        <x:v>strategy buy signal</x:v>
      </x:c>
      <x:c r="L268" s="3" t="str">
        <x:v>production</x:v>
      </x:c>
      <x:c r="M268" s="10" t="n">
        <x:v>886</x:v>
      </x:c>
      <x:c r="N268" s="3" t="str">
        <x:v>USDT</x:v>
      </x:c>
      <x:c r="O268" s="9" t="n">
        <x:v>1789466699999</x:v>
      </x:c>
      <x:c r="P268" s="4" t="b">
        <x:v>0</x:v>
      </x:c>
      <x:c r="Q268" s="4" t="b">
        <x:v>1</x:v>
      </x:c>
      <x:c r="R268" s="4" t="b">
        <x:v>1</x:v>
      </x:c>
      <x:c r="S268" s="4" t="b">
        <x:v>1</x:v>
      </x:c>
      <x:c r="T268" s="4" t="b">
        <x:v>1</x:v>
      </x:c>
      <x:c r="U268" s="4" t="b">
        <x:v>1</x:v>
      </x:c>
      <x:c r="V268" s="10" t="n">
        <x:v>1789466708</x:v>
      </x:c>
      <x:c r="W268" s="3" t="str">
        <x:v>{"side": "BUY", "symbol": "CRCLBUSDT", "order_id": 89704418, "quantity": "0.32000000", "price": "92.3", "quote_amount": "29.53600000", "quote_asset": "USDT", "signal_candle_close_time": 1789466699999, "reason": "strategy buy signal", "entry_conditions": {"rsi_recovered": false, "near_support": true, "trend_ok": true, "reward_ok": true, "stop_risk_ok": true, "momentum_ok": true}, "environment": "production", "recorded_at": 1789466708}</x:v>
      </x:c>
      <x:c r="X268" s="10" t="n">
        <x:v>0</x:v>
      </x:c>
      <x:c r="Y268" s="8" t="n">
        <x:v>46280.42023148148</x:v>
      </x:c>
      <x:c r="Z268" s="3" t="str">
        <x:v>2026-09-15</x:v>
      </x:c>
      <x:c r="AA268" s="3" t="str">
        <x:v>ACTIVE / MIXED</x:v>
      </x:c>
      <x:c r="AB268" s="8" t="n">
        <x:v>46280.543125</x:v>
      </x:c>
      <x:c r="AC268" s="10" t="n">
        <x:v>182</x:v>
      </x:c>
      <x:c r="AD268" s="3" t="str">
        <x:v>rsi_recovered</x:v>
      </x:c>
      <x:c r="AE268" s="3"/>
      <x:c r="AF268" s="9"/>
      <x:c r="AG268" s="3"/>
      <x:c r="AH268" s="9"/>
      <x:c r="AI268" s="9"/>
      <x:c r="AJ268" s="3"/>
      <x:c r="AK268" s="9"/>
      <x:c r="AL268" s="3"/>
      <x:c r="AM268" s="3"/>
    </x:row>
    <x:row r="269" ht="21" customHeight="1">
      <x:c r="A269" s="8" t="n">
        <x:v>46280.54881944445</x:v>
      </x:c>
      <x:c r="B269" s="3" t="str">
        <x:v>FILUSDT</x:v>
      </x:c>
      <x:c r="C269" s="3" t="str">
        <x:v>BUY</x:v>
      </x:c>
      <x:c r="D269" s="3" t="str">
        <x:v>5271392637</x:v>
      </x:c>
      <x:c r="E269" s="9" t="n">
        <x:v>33.79</x:v>
      </x:c>
      <x:c r="F269" s="9" t="n">
        <x:v>0.8877</x:v>
      </x:c>
      <x:c r="G269" s="9" t="n">
        <x:v>29.995383</x:v>
      </x:c>
      <x:c r="H269" s="9"/>
      <x:c r="I269" s="3"/>
      <x:c r="J269" s="3" t="str">
        <x:v>gross only; actual fees not recorded</x:v>
      </x:c>
      <x:c r="K269" s="3" t="str">
        <x:v>strategy buy signal</x:v>
      </x:c>
      <x:c r="L269" s="3" t="str">
        <x:v>production</x:v>
      </x:c>
      <x:c r="M269" s="10" t="n">
        <x:v>887</x:v>
      </x:c>
      <x:c r="N269" s="3" t="str">
        <x:v>USDT</x:v>
      </x:c>
      <x:c r="O269" s="9" t="n">
        <x:v>1789466999999</x:v>
      </x:c>
      <x:c r="P269" s="4" t="b">
        <x:v>0</x:v>
      </x:c>
      <x:c r="Q269" s="4" t="b">
        <x:v>1</x:v>
      </x:c>
      <x:c r="R269" s="4" t="b">
        <x:v>1</x:v>
      </x:c>
      <x:c r="S269" s="4" t="b">
        <x:v>1</x:v>
      </x:c>
      <x:c r="T269" s="4" t="b">
        <x:v>1</x:v>
      </x:c>
      <x:c r="U269" s="4" t="b">
        <x:v>1</x:v>
      </x:c>
      <x:c r="V269" s="10" t="n">
        <x:v>1789467018</x:v>
      </x:c>
      <x:c r="W269" s="3" t="str">
        <x:v>{"side": "BUY", "symbol": "FILUSDT", "order_id": 5271392637, "quantity": "33.79000000", "price": "0.8877", "quote_amount": "29.99538300", "quote_asset": "USDT", "signal_candle_close_time": 1789466999999, "reason": "strategy buy signal", "entry_conditions": {"rsi_recovered": false, "near_support": true, "trend_ok": true, "reward_ok": true, "stop_risk_ok": true, "momentum_ok": true}, "environment": "production", "recorded_at": 1789467018}</x:v>
      </x:c>
      <x:c r="X269" s="10" t="n">
        <x:v>0</x:v>
      </x:c>
      <x:c r="Y269" s="8" t="n">
        <x:v>46280.42381944445</x:v>
      </x:c>
      <x:c r="Z269" s="3" t="str">
        <x:v>2026-09-15</x:v>
      </x:c>
      <x:c r="AA269" s="3" t="str">
        <x:v>ACTIVE / MIXED</x:v>
      </x:c>
      <x:c r="AB269" s="8" t="n">
        <x:v>46280.543125</x:v>
      </x:c>
      <x:c r="AC269" s="10" t="n">
        <x:v>492</x:v>
      </x:c>
      <x:c r="AD269" s="3" t="str">
        <x:v>rsi_recovered</x:v>
      </x:c>
      <x:c r="AE269" s="3"/>
      <x:c r="AF269" s="9"/>
      <x:c r="AG269" s="3"/>
      <x:c r="AH269" s="9"/>
      <x:c r="AI269" s="9"/>
      <x:c r="AJ269" s="3"/>
      <x:c r="AK269" s="9"/>
      <x:c r="AL269" s="3"/>
      <x:c r="AM269" s="3"/>
    </x:row>
    <x:row r="270" ht="21" customHeight="1">
      <x:c r="A270" s="8" t="n">
        <x:v>46280.55241898148</x:v>
      </x:c>
      <x:c r="B270" s="3" t="str">
        <x:v>PUMPUSDT</x:v>
      </x:c>
      <x:c r="C270" s="3" t="str">
        <x:v>BUY</x:v>
      </x:c>
      <x:c r="D270" s="3" t="str">
        <x:v>881586078</x:v>
      </x:c>
      <x:c r="E270" s="9" t="n">
        <x:v>8307</x:v>
      </x:c>
      <x:c r="F270" s="9" t="n">
        <x:v>0.003611274948838329</x:v>
      </x:c>
      <x:c r="G270" s="9" t="n">
        <x:v>29.998861</x:v>
      </x:c>
      <x:c r="H270" s="9"/>
      <x:c r="I270" s="3"/>
      <x:c r="J270" s="3" t="str">
        <x:v>gross only; actual fees not recorded</x:v>
      </x:c>
      <x:c r="K270" s="3" t="str">
        <x:v>strategy buy signal</x:v>
      </x:c>
      <x:c r="L270" s="3" t="str">
        <x:v>production</x:v>
      </x:c>
      <x:c r="M270" s="10" t="n">
        <x:v>888</x:v>
      </x:c>
      <x:c r="N270" s="3" t="str">
        <x:v>USDT</x:v>
      </x:c>
      <x:c r="O270" s="9" t="n">
        <x:v>1789467299999</x:v>
      </x:c>
      <x:c r="P270" s="4" t="b">
        <x:v>0</x:v>
      </x:c>
      <x:c r="Q270" s="4" t="b">
        <x:v>1</x:v>
      </x:c>
      <x:c r="R270" s="4" t="b">
        <x:v>1</x:v>
      </x:c>
      <x:c r="S270" s="4" t="b">
        <x:v>1</x:v>
      </x:c>
      <x:c r="T270" s="4" t="b">
        <x:v>1</x:v>
      </x:c>
      <x:c r="U270" s="4" t="b">
        <x:v>1</x:v>
      </x:c>
      <x:c r="V270" s="10" t="n">
        <x:v>1789467329</x:v>
      </x:c>
      <x:c r="W270" s="3" t="str">
        <x:v>{"side": "BUY", "symbol": "PUMPUSDT", "order_id": 881586078, "quantity": "8307.00", "price": "0.003611274948838329120019260864", "quote_amount": "29.99886100", "quote_asset": "USDT", "signal_candle_close_time": 1789467299999, "reason": "strategy buy signal", "entry_conditions": {"rsi_recovered": false, "near_support": true, "trend_ok": true, "reward_ok": true, "stop_risk_ok": true, "momentum_ok": true}, "environment": "production", "recorded_at": 1789467329}</x:v>
      </x:c>
      <x:c r="X270" s="10" t="n">
        <x:v>0</x:v>
      </x:c>
      <x:c r="Y270" s="8" t="n">
        <x:v>46280.42741898148</x:v>
      </x:c>
      <x:c r="Z270" s="3" t="str">
        <x:v>2026-09-15</x:v>
      </x:c>
      <x:c r="AA270" s="3" t="str">
        <x:v>ACTIVE / MIXED</x:v>
      </x:c>
      <x:c r="AB270" s="8" t="n">
        <x:v>46280.543125</x:v>
      </x:c>
      <x:c r="AC270" s="10" t="n">
        <x:v>803</x:v>
      </x:c>
      <x:c r="AD270" s="3" t="str">
        <x:v>rsi_recovered</x:v>
      </x:c>
      <x:c r="AE270" s="3"/>
      <x:c r="AF270" s="9"/>
      <x:c r="AG270" s="3"/>
      <x:c r="AH270" s="9"/>
      <x:c r="AI270" s="9"/>
      <x:c r="AJ270" s="3"/>
      <x:c r="AK270" s="9"/>
      <x:c r="AL270" s="3"/>
      <x:c r="AM270" s="3"/>
    </x:row>
    <x:row r="271" ht="21" customHeight="1">
      <x:c r="A271" s="8" t="n">
        <x:v>46280.55252314815</x:v>
      </x:c>
      <x:c r="B271" s="3" t="str">
        <x:v>AAVEUSDT</x:v>
      </x:c>
      <x:c r="C271" s="3" t="str">
        <x:v>BUY</x:v>
      </x:c>
      <x:c r="D271" s="3" t="str">
        <x:v>5707904026</x:v>
      </x:c>
      <x:c r="E271" s="9" t="n">
        <x:v>0.215</x:v>
      </x:c>
      <x:c r="F271" s="9" t="n">
        <x:v>127.47</x:v>
      </x:c>
      <x:c r="G271" s="9" t="n">
        <x:v>27.40605</x:v>
      </x:c>
      <x:c r="H271" s="9"/>
      <x:c r="I271" s="3"/>
      <x:c r="J271" s="3" t="str">
        <x:v>gross only; actual fees not recorded</x:v>
      </x:c>
      <x:c r="K271" s="3" t="str">
        <x:v>strategy buy signal</x:v>
      </x:c>
      <x:c r="L271" s="3" t="str">
        <x:v>production</x:v>
      </x:c>
      <x:c r="M271" s="10" t="n">
        <x:v>889</x:v>
      </x:c>
      <x:c r="N271" s="3" t="str">
        <x:v>USDT</x:v>
      </x:c>
      <x:c r="O271" s="9" t="n">
        <x:v>1789467299999</x:v>
      </x:c>
      <x:c r="P271" s="4" t="b">
        <x:v>0</x:v>
      </x:c>
      <x:c r="Q271" s="4" t="b">
        <x:v>1</x:v>
      </x:c>
      <x:c r="R271" s="4" t="b">
        <x:v>1</x:v>
      </x:c>
      <x:c r="S271" s="4" t="b">
        <x:v>1</x:v>
      </x:c>
      <x:c r="T271" s="4" t="b">
        <x:v>1</x:v>
      </x:c>
      <x:c r="U271" s="4" t="b">
        <x:v>1</x:v>
      </x:c>
      <x:c r="V271" s="10" t="n">
        <x:v>1789467338</x:v>
      </x:c>
      <x:c r="W271" s="3" t="str">
        <x:v>{"side": "BUY", "symbol": "AAVEUSDT", "order_id": 5707904026, "quantity": "0.21500000", "price": "127.47", "quote_amount": "27.40605000", "quote_asset": "USDT", "signal_candle_close_time": 1789467299999, "reason": "strategy buy signal", "entry_conditions": {"rsi_recovered": false, "near_support": true, "trend_ok": true, "reward_ok": true, "stop_risk_ok": true, "momentum_ok": true}, "environment": "production", "recorded_at": 1789467338}</x:v>
      </x:c>
      <x:c r="X271" s="10" t="n">
        <x:v>0</x:v>
      </x:c>
      <x:c r="Y271" s="8" t="n">
        <x:v>46280.42752314815</x:v>
      </x:c>
      <x:c r="Z271" s="3" t="str">
        <x:v>2026-09-15</x:v>
      </x:c>
      <x:c r="AA271" s="3" t="str">
        <x:v>ACTIVE / MIXED</x:v>
      </x:c>
      <x:c r="AB271" s="8" t="n">
        <x:v>46280.543125</x:v>
      </x:c>
      <x:c r="AC271" s="10" t="n">
        <x:v>812</x:v>
      </x:c>
      <x:c r="AD271" s="3" t="str">
        <x:v>rsi_recovered</x:v>
      </x:c>
      <x:c r="AE271" s="3"/>
      <x:c r="AF271" s="9"/>
      <x:c r="AG271" s="3"/>
      <x:c r="AH271" s="9"/>
      <x:c r="AI271" s="9"/>
      <x:c r="AJ271" s="3"/>
      <x:c r="AK271" s="9"/>
      <x:c r="AL271" s="3"/>
      <x:c r="AM271" s="3"/>
    </x:row>
    <x:row r="272" ht="21" customHeight="1">
      <x:c r="A272" s="8" t="n">
        <x:v>46280.574525462966</x:v>
      </x:c>
      <x:c r="B272" s="3" t="str">
        <x:v>CRCLBUSDT</x:v>
      </x:c>
      <x:c r="C272" s="3" t="str">
        <x:v>SELL</x:v>
      </x:c>
      <x:c r="D272" s="3" t="str">
        <x:v>89737620</x:v>
      </x:c>
      <x:c r="E272" s="9" t="n">
        <x:v>0.32</x:v>
      </x:c>
      <x:c r="F272" s="9" t="n">
        <x:v>92.65</x:v>
      </x:c>
      <x:c r="G272" s="9" t="n">
        <x:v>29.648</x:v>
      </x:c>
      <x:c r="H272" s="9" t="n">
        <x:v>0.112</x:v>
      </x:c>
      <x:c r="I272" s="3"/>
      <x:c r="J272" s="3" t="str">
        <x:v>gross only; actual fees not recorded</x:v>
      </x:c>
      <x:c r="K272" s="3" t="str">
        <x:v>take profit</x:v>
      </x:c>
      <x:c r="L272" s="3" t="str">
        <x:v>production</x:v>
      </x:c>
      <x:c r="M272" s="10" t="n">
        <x:v>890</x:v>
      </x:c>
      <x:c r="N272" s="3" t="str">
        <x:v>USDT</x:v>
      </x:c>
      <x:c r="O272" s="9"/>
      <x:c r="P272" s="3"/>
      <x:c r="Q272" s="3"/>
      <x:c r="R272" s="3"/>
      <x:c r="S272" s="3"/>
      <x:c r="T272" s="3"/>
      <x:c r="U272" s="3"/>
      <x:c r="V272" s="10" t="n">
        <x:v>1789469239</x:v>
      </x:c>
      <x:c r="W272" s="3" t="str">
        <x:v>{"side": "SELL", "symbol": "CRCLBUSDT", "order_id": 89737620, "quantity": "0.32000000", "price": "92.65", "quote_amount": "29.64800000", "quote_asset": "USDT", "reason": "take profit", "estimated_pnl_usdt": "0.1120000000", "environment": "production", "recorded_at": 1789469239}</x:v>
      </x:c>
      <x:c r="X272" s="10" t="n">
        <x:v>0</x:v>
      </x:c>
      <x:c r="Y272" s="8" t="n">
        <x:v>46280.449525462966</x:v>
      </x:c>
      <x:c r="Z272" s="3" t="str">
        <x:v>2026-09-15</x:v>
      </x:c>
      <x:c r="AA272" s="3" t="str">
        <x:v>ACTIVE / MIXED</x:v>
      </x:c>
      <x:c r="AB272" s="8" t="n">
        <x:v>46280.56427083333</x:v>
      </x:c>
      <x:c r="AC272" s="10" t="n">
        <x:v>886</x:v>
      </x:c>
      <x:c r="AD272" s="3"/>
      <x:c r="AE272" s="3"/>
      <x:c r="AF272" s="9"/>
      <x:c r="AG272" s="3"/>
      <x:c r="AH272" s="9"/>
      <x:c r="AI272" s="9"/>
      <x:c r="AJ272" s="3"/>
      <x:c r="AK272" s="9"/>
      <x:c r="AL272" s="3"/>
      <x:c r="AM272" s="3"/>
    </x:row>
    <x:row r="273" ht="21" customHeight="1">
      <x:c r="A273" s="8" t="n">
        <x:v>46280.57462962963</x:v>
      </x:c>
      <x:c r="B273" s="3" t="str">
        <x:v>XRPUSDT</x:v>
      </x:c>
      <x:c r="C273" s="3" t="str">
        <x:v>BUY</x:v>
      </x:c>
      <x:c r="D273" s="3" t="str">
        <x:v>15444274243</x:v>
      </x:c>
      <x:c r="E273" s="9" t="n">
        <x:v>21.1</x:v>
      </x:c>
      <x:c r="F273" s="9" t="n">
        <x:v>1.4026</x:v>
      </x:c>
      <x:c r="G273" s="9" t="n">
        <x:v>29.59486</x:v>
      </x:c>
      <x:c r="H273" s="9"/>
      <x:c r="I273" s="3"/>
      <x:c r="J273" s="3" t="str">
        <x:v>gross only; actual fees not recorded</x:v>
      </x:c>
      <x:c r="K273" s="3" t="str">
        <x:v>strategy buy signal</x:v>
      </x:c>
      <x:c r="L273" s="3" t="str">
        <x:v>production</x:v>
      </x:c>
      <x:c r="M273" s="10" t="n">
        <x:v>891</x:v>
      </x:c>
      <x:c r="N273" s="3" t="str">
        <x:v>USDT</x:v>
      </x:c>
      <x:c r="O273" s="9" t="n">
        <x:v>1789469099999</x:v>
      </x:c>
      <x:c r="P273" s="4" t="b">
        <x:v>0</x:v>
      </x:c>
      <x:c r="Q273" s="4" t="b">
        <x:v>1</x:v>
      </x:c>
      <x:c r="R273" s="4" t="b">
        <x:v>1</x:v>
      </x:c>
      <x:c r="S273" s="4" t="b">
        <x:v>1</x:v>
      </x:c>
      <x:c r="T273" s="4" t="b">
        <x:v>1</x:v>
      </x:c>
      <x:c r="U273" s="4" t="b">
        <x:v>1</x:v>
      </x:c>
      <x:c r="V273" s="10" t="n">
        <x:v>1789469248</x:v>
      </x:c>
      <x:c r="W273" s="3" t="str">
        <x:v>{"side": "BUY", "symbol": "XRPUSDT", "order_id": 15444274243, "quantity": "21.10000000", "price": "1.4026", "quote_amount": "29.59486000", "quote_asset": "USDT", "signal_candle_close_time": 1789469099999, "reason": "strategy buy signal", "entry_conditions": {"rsi_recovered": false, "near_support": true, "trend_ok": true, "reward_ok": true, "stop_risk_ok": true, "momentum_ok": true}, "environment": "production", "recorded_at": 1789469248}</x:v>
      </x:c>
      <x:c r="X273" s="10" t="n">
        <x:v>0</x:v>
      </x:c>
      <x:c r="Y273" s="8" t="n">
        <x:v>46280.44962962963</x:v>
      </x:c>
      <x:c r="Z273" s="3" t="str">
        <x:v>2026-09-15</x:v>
      </x:c>
      <x:c r="AA273" s="3" t="str">
        <x:v>ACTIVE / MIXED</x:v>
      </x:c>
      <x:c r="AB273" s="8" t="n">
        <x:v>46280.56427083333</x:v>
      </x:c>
      <x:c r="AC273" s="10" t="n">
        <x:v>895</x:v>
      </x:c>
      <x:c r="AD273" s="3" t="str">
        <x:v>rsi_recovered</x:v>
      </x:c>
      <x:c r="AE273" s="3"/>
      <x:c r="AF273" s="9"/>
      <x:c r="AG273" s="3"/>
      <x:c r="AH273" s="9"/>
      <x:c r="AI273" s="9"/>
      <x:c r="AJ273" s="3"/>
      <x:c r="AK273" s="9"/>
      <x:c r="AL273" s="3"/>
      <x:c r="AM273" s="3"/>
    </x:row>
    <x:row r="274" ht="21" customHeight="1">
      <x:c r="A274" s="8" t="n">
        <x:v>46280.59054398148</x:v>
      </x:c>
      <x:c r="B274" s="3" t="str">
        <x:v>FILUSDT</x:v>
      </x:c>
      <x:c r="C274" s="3" t="str">
        <x:v>SELL</x:v>
      </x:c>
      <x:c r="D274" s="3" t="str">
        <x:v>5271484952</x:v>
      </x:c>
      <x:c r="E274" s="9" t="n">
        <x:v>33.75</x:v>
      </x:c>
      <x:c r="F274" s="9" t="n">
        <x:v>0.8781</x:v>
      </x:c>
      <x:c r="G274" s="9" t="n">
        <x:v>29.635875</x:v>
      </x:c>
      <x:c r="H274" s="9" t="n">
        <x:v>-0.324</x:v>
      </x:c>
      <x:c r="I274" s="3"/>
      <x:c r="J274" s="3" t="str">
        <x:v>gross only; actual fees not recorded</x:v>
      </x:c>
      <x:c r="K274" s="3" t="str">
        <x:v>stop loss</x:v>
      </x:c>
      <x:c r="L274" s="3" t="str">
        <x:v>production</x:v>
      </x:c>
      <x:c r="M274" s="10" t="n">
        <x:v>892</x:v>
      </x:c>
      <x:c r="N274" s="3" t="str">
        <x:v>USDT</x:v>
      </x:c>
      <x:c r="O274" s="9"/>
      <x:c r="P274" s="3"/>
      <x:c r="Q274" s="3"/>
      <x:c r="R274" s="3"/>
      <x:c r="S274" s="3"/>
      <x:c r="T274" s="3"/>
      <x:c r="U274" s="3"/>
      <x:c r="V274" s="10" t="n">
        <x:v>1789470623</x:v>
      </x:c>
      <x:c r="W274" s="3" t="str">
        <x:v>{"side": "SELL", "symbol": "FILUSDT", "order_id": 5271484952, "quantity": "33.75000000", "price": "0.8781", "quote_amount": "29.63587500", "quote_asset": "USDT", "reason": "stop loss", "estimated_pnl_usdt": "-0.324000000000", "environment": "production", "recorded_at": 1789470623}</x:v>
      </x:c>
      <x:c r="X274" s="10" t="n">
        <x:v>0</x:v>
      </x:c>
      <x:c r="Y274" s="8" t="n">
        <x:v>46280.46554398148</x:v>
      </x:c>
      <x:c r="Z274" s="3" t="str">
        <x:v>2026-09-15</x:v>
      </x:c>
      <x:c r="AA274" s="3" t="str">
        <x:v>ACTIVE / MIXED</x:v>
      </x:c>
      <x:c r="AB274" s="8" t="n">
        <x:v>46280.58563657408</x:v>
      </x:c>
      <x:c r="AC274" s="10" t="n">
        <x:v>424</x:v>
      </x:c>
      <x:c r="AD274" s="3"/>
      <x:c r="AE274" s="3"/>
      <x:c r="AF274" s="9"/>
      <x:c r="AG274" s="3"/>
      <x:c r="AH274" s="9"/>
      <x:c r="AI274" s="9"/>
      <x:c r="AJ274" s="3"/>
      <x:c r="AK274" s="9"/>
      <x:c r="AL274" s="3"/>
      <x:c r="AM274" s="3"/>
    </x:row>
    <x:row r="275" ht="21" customHeight="1">
      <x:c r="A275" s="8" t="n">
        <x:v>46280.59055555556</x:v>
      </x:c>
      <x:c r="B275" s="3" t="str">
        <x:v>ENAUSDT</x:v>
      </x:c>
      <x:c r="C275" s="3" t="str">
        <x:v>BUY</x:v>
      </x:c>
      <x:c r="D275" s="3" t="str">
        <x:v>3405500676</x:v>
      </x:c>
      <x:c r="E275" s="9" t="n">
        <x:v>207.9</x:v>
      </x:c>
      <x:c r="F275" s="9" t="n">
        <x:v>0.1429</x:v>
      </x:c>
      <x:c r="G275" s="9" t="n">
        <x:v>29.70891</x:v>
      </x:c>
      <x:c r="H275" s="9"/>
      <x:c r="I275" s="3"/>
      <x:c r="J275" s="3" t="str">
        <x:v>gross only; actual fees not recorded</x:v>
      </x:c>
      <x:c r="K275" s="3" t="str">
        <x:v>strategy buy signal</x:v>
      </x:c>
      <x:c r="L275" s="3" t="str">
        <x:v>production</x:v>
      </x:c>
      <x:c r="M275" s="10" t="n">
        <x:v>893</x:v>
      </x:c>
      <x:c r="N275" s="3" t="str">
        <x:v>USDT</x:v>
      </x:c>
      <x:c r="O275" s="9" t="n">
        <x:v>1789470599999</x:v>
      </x:c>
      <x:c r="P275" s="4" t="b">
        <x:v>1</x:v>
      </x:c>
      <x:c r="Q275" s="4" t="b">
        <x:v>1</x:v>
      </x:c>
      <x:c r="R275" s="4" t="b">
        <x:v>1</x:v>
      </x:c>
      <x:c r="S275" s="4" t="b">
        <x:v>1</x:v>
      </x:c>
      <x:c r="T275" s="4" t="b">
        <x:v>1</x:v>
      </x:c>
      <x:c r="U275" s="4" t="b">
        <x:v>1</x:v>
      </x:c>
      <x:c r="V275" s="10" t="n">
        <x:v>1789470624</x:v>
      </x:c>
      <x:c r="W275" s="3" t="str">
        <x:v>{"side": "BUY", "symbol": "ENAUSDT", "order_id": 3405500676, "quantity": "207.90000000", "price": "0.1429", "quote_amount": "29.70891000", "quote_asset": "USDT", "signal_candle_close_time": 1789470599999, "reason": "strategy buy signal", "entry_conditions": {"rsi_recovered": true, "near_support": true, "trend_ok": true, "reward_ok": true, "stop_risk_ok": true, "momentum_ok": true}, "environment": "production", "recorded_at": 1789470624}</x:v>
      </x:c>
      <x:c r="X275" s="10" t="n">
        <x:v>0</x:v>
      </x:c>
      <x:c r="Y275" s="8" t="n">
        <x:v>46280.46555555556</x:v>
      </x:c>
      <x:c r="Z275" s="3" t="str">
        <x:v>2026-09-15</x:v>
      </x:c>
      <x:c r="AA275" s="3" t="str">
        <x:v>ACTIVE / MIXED</x:v>
      </x:c>
      <x:c r="AB275" s="8" t="n">
        <x:v>46280.58563657408</x:v>
      </x:c>
      <x:c r="AC275" s="10" t="n">
        <x:v>425</x:v>
      </x:c>
      <x:c r="AD275" s="3" t="str"/>
      <x:c r="AE275" s="3"/>
      <x:c r="AF275" s="9"/>
      <x:c r="AG275" s="3"/>
      <x:c r="AH275" s="9"/>
      <x:c r="AI275" s="9"/>
      <x:c r="AJ275" s="3"/>
      <x:c r="AK275" s="9"/>
      <x:c r="AL275" s="3"/>
      <x:c r="AM275" s="3"/>
    </x:row>
    <x:row r="276" ht="21" customHeight="1">
      <x:c r="A276" s="8" t="n">
        <x:v>46280.590775462966</x:v>
      </x:c>
      <x:c r="B276" s="3" t="str">
        <x:v>AAVEUSDT</x:v>
      </x:c>
      <x:c r="C276" s="3" t="str">
        <x:v>SELL</x:v>
      </x:c>
      <x:c r="D276" s="3" t="str">
        <x:v>5707952137</x:v>
      </x:c>
      <x:c r="E276" s="9" t="n">
        <x:v>0.215</x:v>
      </x:c>
      <x:c r="F276" s="9" t="n">
        <x:v>127.95</x:v>
      </x:c>
      <x:c r="G276" s="9" t="n">
        <x:v>27.50925</x:v>
      </x:c>
      <x:c r="H276" s="9" t="n">
        <x:v>0.1032</x:v>
      </x:c>
      <x:c r="I276" s="3"/>
      <x:c r="J276" s="3" t="str">
        <x:v>gross only; actual fees not recorded</x:v>
      </x:c>
      <x:c r="K276" s="3" t="str">
        <x:v>take profit</x:v>
      </x:c>
      <x:c r="L276" s="3" t="str">
        <x:v>production</x:v>
      </x:c>
      <x:c r="M276" s="10" t="n">
        <x:v>894</x:v>
      </x:c>
      <x:c r="N276" s="3" t="str">
        <x:v>USDT</x:v>
      </x:c>
      <x:c r="O276" s="9"/>
      <x:c r="P276" s="3"/>
      <x:c r="Q276" s="3"/>
      <x:c r="R276" s="3"/>
      <x:c r="S276" s="3"/>
      <x:c r="T276" s="3"/>
      <x:c r="U276" s="3"/>
      <x:c r="V276" s="10" t="n">
        <x:v>1789470643</x:v>
      </x:c>
      <x:c r="W276" s="3" t="str">
        <x:v>{"side": "SELL", "symbol": "AAVEUSDT", "order_id": 5707952137, "quantity": "0.21500000", "price": "127.95", "quote_amount": "27.50925000", "quote_asset": "USDT", "reason": "take profit", "estimated_pnl_usdt": "0.1032000000", "environment": "production", "recorded_at": 1789470643}</x:v>
      </x:c>
      <x:c r="X276" s="10" t="n">
        <x:v>0</x:v>
      </x:c>
      <x:c r="Y276" s="8" t="n">
        <x:v>46280.465775462966</x:v>
      </x:c>
      <x:c r="Z276" s="3" t="str">
        <x:v>2026-09-15</x:v>
      </x:c>
      <x:c r="AA276" s="3" t="str">
        <x:v>ACTIVE / MIXED</x:v>
      </x:c>
      <x:c r="AB276" s="8" t="n">
        <x:v>46280.58563657408</x:v>
      </x:c>
      <x:c r="AC276" s="10" t="n">
        <x:v>444</x:v>
      </x:c>
      <x:c r="AD276" s="3"/>
      <x:c r="AE276" s="3"/>
      <x:c r="AF276" s="9"/>
      <x:c r="AG276" s="3"/>
      <x:c r="AH276" s="9"/>
      <x:c r="AI276" s="9"/>
      <x:c r="AJ276" s="3"/>
      <x:c r="AK276" s="9"/>
      <x:c r="AL276" s="3"/>
      <x:c r="AM276" s="3"/>
    </x:row>
    <x:row r="277" ht="21" customHeight="1">
      <x:c r="A277" s="8" t="n">
        <x:v>46280.59105324074</x:v>
      </x:c>
      <x:c r="B277" s="3" t="str">
        <x:v>INJUSDT</x:v>
      </x:c>
      <x:c r="C277" s="3" t="str">
        <x:v>BUY</x:v>
      </x:c>
      <x:c r="D277" s="3" t="str">
        <x:v>3164139251</x:v>
      </x:c>
      <x:c r="E277" s="9" t="n">
        <x:v>4.56</x:v>
      </x:c>
      <x:c r="F277" s="9" t="n">
        <x:v>6.014</x:v>
      </x:c>
      <x:c r="G277" s="9" t="n">
        <x:v>27.42384</x:v>
      </x:c>
      <x:c r="H277" s="9"/>
      <x:c r="I277" s="3"/>
      <x:c r="J277" s="3" t="str">
        <x:v>gross only; actual fees not recorded</x:v>
      </x:c>
      <x:c r="K277" s="3" t="str">
        <x:v>strategy buy signal</x:v>
      </x:c>
      <x:c r="L277" s="3" t="str">
        <x:v>production</x:v>
      </x:c>
      <x:c r="M277" s="10" t="n">
        <x:v>895</x:v>
      </x:c>
      <x:c r="N277" s="3" t="str">
        <x:v>USDT</x:v>
      </x:c>
      <x:c r="O277" s="9" t="n">
        <x:v>1789470599999</x:v>
      </x:c>
      <x:c r="P277" s="4" t="b">
        <x:v>1</x:v>
      </x:c>
      <x:c r="Q277" s="4" t="b">
        <x:v>0</x:v>
      </x:c>
      <x:c r="R277" s="4" t="b">
        <x:v>1</x:v>
      </x:c>
      <x:c r="S277" s="4" t="b">
        <x:v>1</x:v>
      </x:c>
      <x:c r="T277" s="4" t="b">
        <x:v>1</x:v>
      </x:c>
      <x:c r="U277" s="4" t="b">
        <x:v>1</x:v>
      </x:c>
      <x:c r="V277" s="10" t="n">
        <x:v>1789470667</x:v>
      </x:c>
      <x:c r="W277" s="3" t="str">
        <x:v>{"side": "BUY", "symbol": "INJUSDT", "order_id": 3164139251, "quantity": "4.56000000", "price": "6.014", "quote_amount": "27.42384000", "quote_asset": "USDT", "signal_candle_close_time": 1789470599999, "reason": "strategy buy signal", "entry_conditions": {"rsi_recovered": true, "near_support": false, "trend_ok": true, "reward_ok": true, "stop_risk_ok": true, "momentum_ok": true}, "environment": "production", "recorded_at": 1789470667}</x:v>
      </x:c>
      <x:c r="X277" s="10" t="n">
        <x:v>0</x:v>
      </x:c>
      <x:c r="Y277" s="8" t="n">
        <x:v>46280.46605324074</x:v>
      </x:c>
      <x:c r="Z277" s="3" t="str">
        <x:v>2026-09-15</x:v>
      </x:c>
      <x:c r="AA277" s="3" t="str">
        <x:v>ACTIVE / MIXED</x:v>
      </x:c>
      <x:c r="AB277" s="8" t="n">
        <x:v>46280.58563657408</x:v>
      </x:c>
      <x:c r="AC277" s="10" t="n">
        <x:v>468</x:v>
      </x:c>
      <x:c r="AD277" s="3" t="str">
        <x:v>near_support</x:v>
      </x:c>
      <x:c r="AE277" s="3"/>
      <x:c r="AF277" s="9"/>
      <x:c r="AG277" s="3"/>
      <x:c r="AH277" s="9"/>
      <x:c r="AI277" s="9"/>
      <x:c r="AJ277" s="3"/>
      <x:c r="AK277" s="9"/>
      <x:c r="AL277" s="3"/>
      <x:c r="AM277" s="3"/>
    </x:row>
    <x:row r="278" ht="21" customHeight="1">
      <x:c r="A278" s="8" t="n">
        <x:v>46280.59415509259</x:v>
      </x:c>
      <x:c r="B278" s="3" t="str">
        <x:v>PUMPUSDT</x:v>
      </x:c>
      <x:c r="C278" s="3" t="str">
        <x:v>SELL</x:v>
      </x:c>
      <x:c r="D278" s="3" t="str">
        <x:v>881626125</x:v>
      </x:c>
      <x:c r="E278" s="9" t="n">
        <x:v>8299</x:v>
      </x:c>
      <x:c r="F278" s="9" t="n">
        <x:v>0.003593</x:v>
      </x:c>
      <x:c r="G278" s="9" t="n">
        <x:v>29.818307</x:v>
      </x:c>
      <x:c r="H278" s="9" t="n">
        <x:v>-0.15166380040929336</x:v>
      </x:c>
      <x:c r="I278" s="3"/>
      <x:c r="J278" s="3" t="str">
        <x:v>gross only; actual fees not recorded</x:v>
      </x:c>
      <x:c r="K278" s="3" t="str">
        <x:v>stop loss</x:v>
      </x:c>
      <x:c r="L278" s="3" t="str">
        <x:v>production</x:v>
      </x:c>
      <x:c r="M278" s="10" t="n">
        <x:v>896</x:v>
      </x:c>
      <x:c r="N278" s="3" t="str">
        <x:v>USDT</x:v>
      </x:c>
      <x:c r="O278" s="9"/>
      <x:c r="P278" s="3"/>
      <x:c r="Q278" s="3"/>
      <x:c r="R278" s="3"/>
      <x:c r="S278" s="3"/>
      <x:c r="T278" s="3"/>
      <x:c r="U278" s="3"/>
      <x:c r="V278" s="10" t="n">
        <x:v>1789470935</x:v>
      </x:c>
      <x:c r="W278" s="3" t="str">
        <x:v>{"side": "SELL", "symbol": "PUMPUSDT", "order_id": 881626125, "quantity": "8299.00", "price": "0.003593", "quote_amount": "29.81830700", "quote_asset": "USDT", "reason": "stop loss", "estimated_pnl_usdt": "-0.1516638004092933670398459103", "environment": "production", "recorded_at": 1789470935}</x:v>
      </x:c>
      <x:c r="X278" s="10" t="n">
        <x:v>0</x:v>
      </x:c>
      <x:c r="Y278" s="8" t="n">
        <x:v>46280.46915509259</x:v>
      </x:c>
      <x:c r="Z278" s="3" t="str">
        <x:v>2026-09-15</x:v>
      </x:c>
      <x:c r="AA278" s="3" t="str">
        <x:v>ACTIVE / MIXED</x:v>
      </x:c>
      <x:c r="AB278" s="8" t="n">
        <x:v>46280.58563657408</x:v>
      </x:c>
      <x:c r="AC278" s="10" t="n">
        <x:v>736</x:v>
      </x:c>
      <x:c r="AD278" s="3"/>
      <x:c r="AE278" s="3"/>
      <x:c r="AF278" s="9"/>
      <x:c r="AG278" s="3"/>
      <x:c r="AH278" s="9"/>
      <x:c r="AI278" s="9"/>
      <x:c r="AJ278" s="3"/>
      <x:c r="AK278" s="9"/>
      <x:c r="AL278" s="3"/>
      <x:c r="AM278" s="3"/>
    </x:row>
    <x:row r="279" ht="21" customHeight="1">
      <x:c r="A279" s="8" t="n">
        <x:v>46280.59416666667</x:v>
      </x:c>
      <x:c r="B279" s="3" t="str">
        <x:v>NEARUSDT</x:v>
      </x:c>
      <x:c r="C279" s="3" t="str">
        <x:v>BUY</x:v>
      </x:c>
      <x:c r="D279" s="3" t="str">
        <x:v>5128719021</x:v>
      </x:c>
      <x:c r="E279" s="9" t="n">
        <x:v>12.4</x:v>
      </x:c>
      <x:c r="F279" s="9" t="n">
        <x:v>2.396</x:v>
      </x:c>
      <x:c r="G279" s="9" t="n">
        <x:v>29.7104</x:v>
      </x:c>
      <x:c r="H279" s="9"/>
      <x:c r="I279" s="3"/>
      <x:c r="J279" s="3" t="str">
        <x:v>gross only; actual fees not recorded</x:v>
      </x:c>
      <x:c r="K279" s="3" t="str">
        <x:v>strategy buy signal</x:v>
      </x:c>
      <x:c r="L279" s="3" t="str">
        <x:v>production</x:v>
      </x:c>
      <x:c r="M279" s="10" t="n">
        <x:v>897</x:v>
      </x:c>
      <x:c r="N279" s="3" t="str">
        <x:v>USDT</x:v>
      </x:c>
      <x:c r="O279" s="9" t="n">
        <x:v>1789470899999</x:v>
      </x:c>
      <x:c r="P279" s="4" t="b">
        <x:v>0</x:v>
      </x:c>
      <x:c r="Q279" s="4" t="b">
        <x:v>1</x:v>
      </x:c>
      <x:c r="R279" s="4" t="b">
        <x:v>1</x:v>
      </x:c>
      <x:c r="S279" s="4" t="b">
        <x:v>1</x:v>
      </x:c>
      <x:c r="T279" s="4" t="b">
        <x:v>1</x:v>
      </x:c>
      <x:c r="U279" s="4" t="b">
        <x:v>1</x:v>
      </x:c>
      <x:c r="V279" s="10" t="n">
        <x:v>1789470936</x:v>
      </x:c>
      <x:c r="W279" s="3" t="str">
        <x:v>{"side": "BUY", "symbol": "NEARUSDT", "order_id": 5128719021, "quantity": "12.40000000", "price": "2.396", "quote_amount": "29.71040000", "quote_asset": "USDT", "signal_candle_close_time": 1789470899999, "reason": "strategy buy signal", "entry_conditions": {"rsi_recovered": false, "near_support": true, "trend_ok": true, "reward_ok": true, "stop_risk_ok": true, "momentum_ok": true}, "environment": "production", "recorded_at": 1789470936}</x:v>
      </x:c>
      <x:c r="X279" s="10" t="n">
        <x:v>0</x:v>
      </x:c>
      <x:c r="Y279" s="8" t="n">
        <x:v>46280.46916666667</x:v>
      </x:c>
      <x:c r="Z279" s="3" t="str">
        <x:v>2026-09-15</x:v>
      </x:c>
      <x:c r="AA279" s="3" t="str">
        <x:v>ACTIVE / MIXED</x:v>
      </x:c>
      <x:c r="AB279" s="8" t="n">
        <x:v>46280.58563657408</x:v>
      </x:c>
      <x:c r="AC279" s="10" t="n">
        <x:v>737</x:v>
      </x:c>
      <x:c r="AD279" s="3" t="str">
        <x:v>rsi_recovered</x:v>
      </x:c>
      <x:c r="AE279" s="3"/>
      <x:c r="AF279" s="9"/>
      <x:c r="AG279" s="3"/>
      <x:c r="AH279" s="9"/>
      <x:c r="AI279" s="9"/>
      <x:c r="AJ279" s="3"/>
      <x:c r="AK279" s="9"/>
      <x:c r="AL279" s="3"/>
      <x:c r="AM279" s="3"/>
    </x:row>
    <x:row r="280" ht="21" customHeight="1">
      <x:c r="A280" s="8" t="n">
        <x:v>46280.597453703704</x:v>
      </x:c>
      <x:c r="B280" s="3" t="str">
        <x:v>ENAUSDT</x:v>
      </x:c>
      <x:c r="C280" s="3" t="str">
        <x:v>SELL</x:v>
      </x:c>
      <x:c r="D280" s="3" t="str">
        <x:v>3405511950</x:v>
      </x:c>
      <x:c r="E280" s="9" t="n">
        <x:v>207.7</x:v>
      </x:c>
      <x:c r="F280" s="9" t="n">
        <x:v>0.1418</x:v>
      </x:c>
      <x:c r="G280" s="9" t="n">
        <x:v>29.45186</x:v>
      </x:c>
      <x:c r="H280" s="9" t="n">
        <x:v>-0.22847</x:v>
      </x:c>
      <x:c r="I280" s="3"/>
      <x:c r="J280" s="3" t="str">
        <x:v>gross only; actual fees not recorded</x:v>
      </x:c>
      <x:c r="K280" s="3" t="str">
        <x:v>stop loss</x:v>
      </x:c>
      <x:c r="L280" s="3" t="str">
        <x:v>production</x:v>
      </x:c>
      <x:c r="M280" s="10" t="n">
        <x:v>898</x:v>
      </x:c>
      <x:c r="N280" s="3" t="str">
        <x:v>USDT</x:v>
      </x:c>
      <x:c r="O280" s="9"/>
      <x:c r="P280" s="3"/>
      <x:c r="Q280" s="3"/>
      <x:c r="R280" s="3"/>
      <x:c r="S280" s="3"/>
      <x:c r="T280" s="3"/>
      <x:c r="U280" s="3"/>
      <x:c r="V280" s="10" t="n">
        <x:v>1789471220</x:v>
      </x:c>
      <x:c r="W280" s="3" t="str">
        <x:v>{"side": "SELL", "symbol": "ENAUSDT", "order_id": 3405511950, "quantity": "207.70000000", "price": "0.1418", "quote_amount": "29.45186000", "quote_asset": "USDT", "reason": "stop loss", "estimated_pnl_usdt": "-0.228470000000", "environment": "production", "recorded_at": 1789471220}</x:v>
      </x:c>
      <x:c r="X280" s="10" t="n">
        <x:v>0</x:v>
      </x:c>
      <x:c r="Y280" s="8" t="n">
        <x:v>46280.472453703704</x:v>
      </x:c>
      <x:c r="Z280" s="3" t="str">
        <x:v>2026-09-15</x:v>
      </x:c>
      <x:c r="AA280" s="3" t="str">
        <x:v>ACTIVE / MIXED</x:v>
      </x:c>
      <x:c r="AB280" s="8" t="n">
        <x:v>46280.59616898148</x:v>
      </x:c>
      <x:c r="AC280" s="10" t="n">
        <x:v>111</x:v>
      </x:c>
      <x:c r="AD280" s="3"/>
      <x:c r="AE280" s="3"/>
      <x:c r="AF280" s="9"/>
      <x:c r="AG280" s="3"/>
      <x:c r="AH280" s="9"/>
      <x:c r="AI280" s="9"/>
      <x:c r="AJ280" s="3"/>
      <x:c r="AK280" s="9"/>
      <x:c r="AL280" s="3"/>
      <x:c r="AM280" s="3"/>
    </x:row>
    <x:row r="281" ht="21" customHeight="1">
      <x:c r="A281" s="8" t="n">
        <x:v>46280.59751157407</x:v>
      </x:c>
      <x:c r="B281" s="3" t="str">
        <x:v>SUIUSDT</x:v>
      </x:c>
      <x:c r="C281" s="3" t="str">
        <x:v>BUY</x:v>
      </x:c>
      <x:c r="D281" s="3" t="str">
        <x:v>8854967484</x:v>
      </x:c>
      <x:c r="E281" s="9" t="n">
        <x:v>41.6</x:v>
      </x:c>
      <x:c r="F281" s="9" t="n">
        <x:v>0.7099</x:v>
      </x:c>
      <x:c r="G281" s="9" t="n">
        <x:v>29.53184</x:v>
      </x:c>
      <x:c r="H281" s="9"/>
      <x:c r="I281" s="3"/>
      <x:c r="J281" s="3" t="str">
        <x:v>gross only; actual fees not recorded</x:v>
      </x:c>
      <x:c r="K281" s="3" t="str">
        <x:v>strategy buy signal</x:v>
      </x:c>
      <x:c r="L281" s="3" t="str">
        <x:v>production</x:v>
      </x:c>
      <x:c r="M281" s="10" t="n">
        <x:v>899</x:v>
      </x:c>
      <x:c r="N281" s="3" t="str">
        <x:v>USDT</x:v>
      </x:c>
      <x:c r="O281" s="9" t="n">
        <x:v>1789471199999</x:v>
      </x:c>
      <x:c r="P281" s="4" t="b">
        <x:v>0</x:v>
      </x:c>
      <x:c r="Q281" s="4" t="b">
        <x:v>1</x:v>
      </x:c>
      <x:c r="R281" s="4" t="b">
        <x:v>1</x:v>
      </x:c>
      <x:c r="S281" s="4" t="b">
        <x:v>1</x:v>
      </x:c>
      <x:c r="T281" s="4" t="b">
        <x:v>1</x:v>
      </x:c>
      <x:c r="U281" s="4" t="b">
        <x:v>1</x:v>
      </x:c>
      <x:c r="V281" s="10" t="n">
        <x:v>1789471225</x:v>
      </x:c>
      <x:c r="W281" s="3" t="str">
        <x:v>{"side": "BUY", "symbol": "SUIUSDT", "order_id": 8854967484, "quantity": "41.60000000", "price": "0.7099", "quote_amount": "29.53184000", "quote_asset": "USDT", "signal_candle_close_time": 1789471199999, "reason": "strategy buy signal", "entry_conditions": {"rsi_recovered": false, "near_support": true, "trend_ok": true, "reward_ok": true, "stop_risk_ok": true, "momentum_ok": true}, "environment": "production", "recorded_at": 1789471225}</x:v>
      </x:c>
      <x:c r="X281" s="10" t="n">
        <x:v>0</x:v>
      </x:c>
      <x:c r="Y281" s="8" t="n">
        <x:v>46280.47251157407</x:v>
      </x:c>
      <x:c r="Z281" s="3" t="str">
        <x:v>2026-09-15</x:v>
      </x:c>
      <x:c r="AA281" s="3" t="str">
        <x:v>ACTIVE / MIXED</x:v>
      </x:c>
      <x:c r="AB281" s="8" t="n">
        <x:v>46280.59616898148</x:v>
      </x:c>
      <x:c r="AC281" s="10" t="n">
        <x:v>116</x:v>
      </x:c>
      <x:c r="AD281" s="3" t="str">
        <x:v>rsi_recovered</x:v>
      </x:c>
      <x:c r="AE281" s="3"/>
      <x:c r="AF281" s="9"/>
      <x:c r="AG281" s="3"/>
      <x:c r="AH281" s="9"/>
      <x:c r="AI281" s="9"/>
      <x:c r="AJ281" s="3"/>
      <x:c r="AK281" s="9"/>
      <x:c r="AL281" s="3"/>
      <x:c r="AM281" s="3"/>
    </x:row>
    <x:row r="282" ht="21" customHeight="1">
      <x:c r="A282" s="8" t="n">
        <x:v>46280.600752314815</x:v>
      </x:c>
      <x:c r="B282" s="3" t="str">
        <x:v>INJUSDT</x:v>
      </x:c>
      <x:c r="C282" s="3" t="str">
        <x:v>SELL</x:v>
      </x:c>
      <x:c r="D282" s="3" t="str">
        <x:v>3164149004</x:v>
      </x:c>
      <x:c r="E282" s="9" t="n">
        <x:v>4.55</x:v>
      </x:c>
      <x:c r="F282" s="9" t="n">
        <x:v>5.962417582417582</x:v>
      </x:c>
      <x:c r="G282" s="9" t="n">
        <x:v>27.129</x:v>
      </x:c>
      <x:c r="H282" s="9" t="n">
        <x:v>-0.2347</x:v>
      </x:c>
      <x:c r="I282" s="3"/>
      <x:c r="J282" s="3" t="str">
        <x:v>gross only; actual fees not recorded</x:v>
      </x:c>
      <x:c r="K282" s="3" t="str">
        <x:v>stop loss</x:v>
      </x:c>
      <x:c r="L282" s="3" t="str">
        <x:v>production</x:v>
      </x:c>
      <x:c r="M282" s="10" t="n">
        <x:v>900</x:v>
      </x:c>
      <x:c r="N282" s="3" t="str">
        <x:v>USDT</x:v>
      </x:c>
      <x:c r="O282" s="9"/>
      <x:c r="P282" s="3"/>
      <x:c r="Q282" s="3"/>
      <x:c r="R282" s="3"/>
      <x:c r="S282" s="3"/>
      <x:c r="T282" s="3"/>
      <x:c r="U282" s="3"/>
      <x:c r="V282" s="10" t="n">
        <x:v>1789471505</x:v>
      </x:c>
      <x:c r="W282" s="3" t="str">
        <x:v>{"side": "SELL", "symbol": "INJUSDT", "order_id": 3164149004, "quantity": "4.55000000", "price": "5.962417582417582417582417582", "quote_amount": "27.12900000", "quote_asset": "USDT", "reason": "stop loss", "estimated_pnl_usdt": "-0.2347000000000000000000000019", "environment": "production", "recorded_at": 1789471505}</x:v>
      </x:c>
      <x:c r="X282" s="10" t="n">
        <x:v>0</x:v>
      </x:c>
      <x:c r="Y282" s="8" t="n">
        <x:v>46280.475752314815</x:v>
      </x:c>
      <x:c r="Z282" s="3" t="str">
        <x:v>2026-09-15</x:v>
      </x:c>
      <x:c r="AA282" s="3" t="str">
        <x:v>ACTIVE / MIXED</x:v>
      </x:c>
      <x:c r="AB282" s="8" t="n">
        <x:v>46280.59616898148</x:v>
      </x:c>
      <x:c r="AC282" s="10" t="n">
        <x:v>396</x:v>
      </x:c>
      <x:c r="AD282" s="3"/>
      <x:c r="AE282" s="3"/>
      <x:c r="AF282" s="9"/>
      <x:c r="AG282" s="3"/>
      <x:c r="AH282" s="9"/>
      <x:c r="AI282" s="9"/>
      <x:c r="AJ282" s="3"/>
      <x:c r="AK282" s="9"/>
      <x:c r="AL282" s="3"/>
      <x:c r="AM282" s="3"/>
    </x:row>
    <x:row r="283" ht="21" customHeight="1">
      <x:c r="A283" s="8" t="n">
        <x:v>46280.60103009259</x:v>
      </x:c>
      <x:c r="B283" s="3" t="str">
        <x:v>NEARUSDT</x:v>
      </x:c>
      <x:c r="C283" s="3" t="str">
        <x:v>SELL</x:v>
      </x:c>
      <x:c r="D283" s="3" t="str">
        <x:v>5128730387</x:v>
      </x:c>
      <x:c r="E283" s="9" t="n">
        <x:v>12.4</x:v>
      </x:c>
      <x:c r="F283" s="9" t="n">
        <x:v>2.375</x:v>
      </x:c>
      <x:c r="G283" s="9" t="n">
        <x:v>29.45</x:v>
      </x:c>
      <x:c r="H283" s="9" t="n">
        <x:v>-0.2604</x:v>
      </x:c>
      <x:c r="I283" s="3"/>
      <x:c r="J283" s="3" t="str">
        <x:v>gross only; actual fees not recorded</x:v>
      </x:c>
      <x:c r="K283" s="3" t="str">
        <x:v>stop loss</x:v>
      </x:c>
      <x:c r="L283" s="3" t="str">
        <x:v>production</x:v>
      </x:c>
      <x:c r="M283" s="10" t="n">
        <x:v>901</x:v>
      </x:c>
      <x:c r="N283" s="3" t="str">
        <x:v>USDT</x:v>
      </x:c>
      <x:c r="O283" s="9"/>
      <x:c r="P283" s="3"/>
      <x:c r="Q283" s="3"/>
      <x:c r="R283" s="3"/>
      <x:c r="S283" s="3"/>
      <x:c r="T283" s="3"/>
      <x:c r="U283" s="3"/>
      <x:c r="V283" s="10" t="n">
        <x:v>1789471529</x:v>
      </x:c>
      <x:c r="W283" s="3" t="str">
        <x:v>{"side": "SELL", "symbol": "NEARUSDT", "order_id": 5128730387, "quantity": "12.40000000", "price": "2.375", "quote_amount": "29.45000000", "quote_asset": "USDT", "reason": "stop loss", "estimated_pnl_usdt": "-0.26040000000", "environment": "production", "recorded_at": 1789471529}</x:v>
      </x:c>
      <x:c r="X283" s="10" t="n">
        <x:v>0</x:v>
      </x:c>
      <x:c r="Y283" s="8" t="n">
        <x:v>46280.47603009259</x:v>
      </x:c>
      <x:c r="Z283" s="3" t="str">
        <x:v>2026-09-15</x:v>
      </x:c>
      <x:c r="AA283" s="3" t="str">
        <x:v>ACTIVE / MIXED</x:v>
      </x:c>
      <x:c r="AB283" s="8" t="n">
        <x:v>46280.59616898148</x:v>
      </x:c>
      <x:c r="AC283" s="10" t="n">
        <x:v>420</x:v>
      </x:c>
      <x:c r="AD283" s="3"/>
      <x:c r="AE283" s="3"/>
      <x:c r="AF283" s="9"/>
      <x:c r="AG283" s="3"/>
      <x:c r="AH283" s="9"/>
      <x:c r="AI283" s="9"/>
      <x:c r="AJ283" s="3"/>
      <x:c r="AK283" s="9"/>
      <x:c r="AL283" s="3"/>
      <x:c r="AM283" s="3"/>
    </x:row>
    <x:row r="284" ht="21" customHeight="1">
      <x:c r="A284" s="8" t="n">
        <x:v>46280.60105324074</x:v>
      </x:c>
      <x:c r="B284" s="3" t="str">
        <x:v>PEPEUSDT</x:v>
      </x:c>
      <x:c r="C284" s="3" t="str">
        <x:v>BUY</x:v>
      </x:c>
      <x:c r="D284" s="3" t="str">
        <x:v>5416724629</x:v>
      </x:c>
      <x:c r="E284" s="9" t="n">
        <x:v>8720930</x:v>
      </x:c>
      <x:c r="F284" s="9" t="n">
        <x:v>0.00000344</x:v>
      </x:c>
      <x:c r="G284" s="9" t="n">
        <x:v>29.9999992</x:v>
      </x:c>
      <x:c r="H284" s="9"/>
      <x:c r="I284" s="3"/>
      <x:c r="J284" s="3" t="str">
        <x:v>gross only; actual fees not recorded</x:v>
      </x:c>
      <x:c r="K284" s="3" t="str">
        <x:v>strategy buy signal</x:v>
      </x:c>
      <x:c r="L284" s="3" t="str">
        <x:v>production</x:v>
      </x:c>
      <x:c r="M284" s="10" t="n">
        <x:v>902</x:v>
      </x:c>
      <x:c r="N284" s="3" t="str">
        <x:v>USDT</x:v>
      </x:c>
      <x:c r="O284" s="9" t="n">
        <x:v>1789471499999</x:v>
      </x:c>
      <x:c r="P284" s="4" t="b">
        <x:v>0</x:v>
      </x:c>
      <x:c r="Q284" s="4" t="b">
        <x:v>1</x:v>
      </x:c>
      <x:c r="R284" s="4" t="b">
        <x:v>1</x:v>
      </x:c>
      <x:c r="S284" s="4" t="b">
        <x:v>1</x:v>
      </x:c>
      <x:c r="T284" s="4" t="b">
        <x:v>1</x:v>
      </x:c>
      <x:c r="U284" s="4" t="b">
        <x:v>1</x:v>
      </x:c>
      <x:c r="V284" s="10" t="n">
        <x:v>1789471531</x:v>
      </x:c>
      <x:c r="W284" s="3" t="str">
        <x:v>{"side": "BUY", "symbol": "PEPEUSDT", "order_id": 5416724629, "quantity": "8720930.00", "price": "0.00000344", "quote_amount": "29.99999920", "quote_asset": "USDT", "signal_candle_close_time": 1789471499999, "reason": "strategy buy signal", "entry_conditions": {"rsi_recovered": false, "near_support": true, "trend_ok": true, "reward_ok": true, "stop_risk_ok": true, "momentum_ok": true}, "environment": "production", "recorded_at": 1789471531}</x:v>
      </x:c>
      <x:c r="X284" s="10" t="n">
        <x:v>0</x:v>
      </x:c>
      <x:c r="Y284" s="8" t="n">
        <x:v>46280.47605324074</x:v>
      </x:c>
      <x:c r="Z284" s="3" t="str">
        <x:v>2026-09-15</x:v>
      </x:c>
      <x:c r="AA284" s="3" t="str">
        <x:v>ACTIVE / MIXED</x:v>
      </x:c>
      <x:c r="AB284" s="8" t="n">
        <x:v>46280.59616898148</x:v>
      </x:c>
      <x:c r="AC284" s="10" t="n">
        <x:v>422</x:v>
      </x:c>
      <x:c r="AD284" s="3" t="str">
        <x:v>rsi_recovered</x:v>
      </x:c>
      <x:c r="AE284" s="3"/>
      <x:c r="AF284" s="9"/>
      <x:c r="AG284" s="3"/>
      <x:c r="AH284" s="9"/>
      <x:c r="AI284" s="9"/>
      <x:c r="AJ284" s="3"/>
      <x:c r="AK284" s="9"/>
      <x:c r="AL284" s="3"/>
      <x:c r="AM284" s="3"/>
    </x:row>
    <x:row r="285" ht="21" customHeight="1">
      <x:c r="A285" s="8" t="n">
        <x:v>46280.60107638889</x:v>
      </x:c>
      <x:c r="B285" s="3" t="str">
        <x:v>XRPUSDT</x:v>
      </x:c>
      <x:c r="C285" s="3" t="str">
        <x:v>SELL</x:v>
      </x:c>
      <x:c r="D285" s="3" t="str">
        <x:v>15444372230</x:v>
      </x:c>
      <x:c r="E285" s="9" t="n">
        <x:v>21.1</x:v>
      </x:c>
      <x:c r="F285" s="9" t="n">
        <x:v>1.3978</x:v>
      </x:c>
      <x:c r="G285" s="9" t="n">
        <x:v>29.49358</x:v>
      </x:c>
      <x:c r="H285" s="9" t="n">
        <x:v>-0.10128</x:v>
      </x:c>
      <x:c r="I285" s="3"/>
      <x:c r="J285" s="3" t="str">
        <x:v>gross only; actual fees not recorded</x:v>
      </x:c>
      <x:c r="K285" s="3" t="str">
        <x:v>stop loss</x:v>
      </x:c>
      <x:c r="L285" s="3" t="str">
        <x:v>production</x:v>
      </x:c>
      <x:c r="M285" s="10" t="n">
        <x:v>903</x:v>
      </x:c>
      <x:c r="N285" s="3" t="str">
        <x:v>USDT</x:v>
      </x:c>
      <x:c r="O285" s="9"/>
      <x:c r="P285" s="3"/>
      <x:c r="Q285" s="3"/>
      <x:c r="R285" s="3"/>
      <x:c r="S285" s="3"/>
      <x:c r="T285" s="3"/>
      <x:c r="U285" s="3"/>
      <x:c r="V285" s="10" t="n">
        <x:v>1789471533</x:v>
      </x:c>
      <x:c r="W285" s="3" t="str">
        <x:v>{"side": "SELL", "symbol": "XRPUSDT", "order_id": 15444372230, "quantity": "21.10000000", "price": "1.3978", "quote_amount": "29.49358000", "quote_asset": "USDT", "reason": "stop loss", "estimated_pnl_usdt": "-0.101280000000", "environment": "production", "recorded_at": 1789471533}</x:v>
      </x:c>
      <x:c r="X285" s="10" t="n">
        <x:v>0</x:v>
      </x:c>
      <x:c r="Y285" s="8" t="n">
        <x:v>46280.47607638889</x:v>
      </x:c>
      <x:c r="Z285" s="3" t="str">
        <x:v>2026-09-15</x:v>
      </x:c>
      <x:c r="AA285" s="3" t="str">
        <x:v>ACTIVE / MIXED</x:v>
      </x:c>
      <x:c r="AB285" s="8" t="n">
        <x:v>46280.59616898148</x:v>
      </x:c>
      <x:c r="AC285" s="10" t="n">
        <x:v>424</x:v>
      </x:c>
      <x:c r="AD285" s="3"/>
      <x:c r="AE285" s="3"/>
      <x:c r="AF285" s="9"/>
      <x:c r="AG285" s="3"/>
      <x:c r="AH285" s="9"/>
      <x:c r="AI285" s="9"/>
      <x:c r="AJ285" s="3"/>
      <x:c r="AK285" s="9"/>
      <x:c r="AL285" s="3"/>
      <x:c r="AM285" s="3"/>
    </x:row>
    <x:row r="286" ht="21" customHeight="1">
      <x:c r="A286" s="8" t="n">
        <x:v>46280.60113425926</x:v>
      </x:c>
      <x:c r="B286" s="3" t="str">
        <x:v>LINKUSDT</x:v>
      </x:c>
      <x:c r="C286" s="3" t="str">
        <x:v>SELL</x:v>
      </x:c>
      <x:c r="D286" s="3" t="str">
        <x:v>8013298961</x:v>
      </x:c>
      <x:c r="E286" s="9" t="n">
        <x:v>2.62</x:v>
      </x:c>
      <x:c r="F286" s="9" t="n">
        <x:v>11.362</x:v>
      </x:c>
      <x:c r="G286" s="9" t="n">
        <x:v>29.76844</x:v>
      </x:c>
      <x:c r="H286" s="9" t="n">
        <x:v>-0.08122</x:v>
      </x:c>
      <x:c r="I286" s="3"/>
      <x:c r="J286" s="3" t="str">
        <x:v>gross only; actual fees not recorded</x:v>
      </x:c>
      <x:c r="K286" s="3" t="str">
        <x:v>stop loss</x:v>
      </x:c>
      <x:c r="L286" s="3" t="str">
        <x:v>production</x:v>
      </x:c>
      <x:c r="M286" s="10" t="n">
        <x:v>904</x:v>
      </x:c>
      <x:c r="N286" s="3" t="str">
        <x:v>USDT</x:v>
      </x:c>
      <x:c r="O286" s="9"/>
      <x:c r="P286" s="3"/>
      <x:c r="Q286" s="3"/>
      <x:c r="R286" s="3"/>
      <x:c r="S286" s="3"/>
      <x:c r="T286" s="3"/>
      <x:c r="U286" s="3"/>
      <x:c r="V286" s="10" t="n">
        <x:v>1789471538</x:v>
      </x:c>
      <x:c r="W286" s="3" t="str">
        <x:v>{"side": "SELL", "symbol": "LINKUSDT", "order_id": 8013298961, "quantity": "2.62000000", "price": "11.362", "quote_amount": "29.76844000", "quote_asset": "USDT", "reason": "stop loss", "estimated_pnl_usdt": "-0.08122000000", "environment": "production", "recorded_at": 1789471538}</x:v>
      </x:c>
      <x:c r="X286" s="10" t="n">
        <x:v>0</x:v>
      </x:c>
      <x:c r="Y286" s="8" t="n">
        <x:v>46280.47613425926</x:v>
      </x:c>
      <x:c r="Z286" s="3" t="str">
        <x:v>2026-09-15</x:v>
      </x:c>
      <x:c r="AA286" s="3" t="str">
        <x:v>ACTIVE / MIXED</x:v>
      </x:c>
      <x:c r="AB286" s="8" t="n">
        <x:v>46280.59616898148</x:v>
      </x:c>
      <x:c r="AC286" s="10" t="n">
        <x:v>429</x:v>
      </x:c>
      <x:c r="AD286" s="3"/>
      <x:c r="AE286" s="3"/>
      <x:c r="AF286" s="9"/>
      <x:c r="AG286" s="3"/>
      <x:c r="AH286" s="9"/>
      <x:c r="AI286" s="9"/>
      <x:c r="AJ286" s="3"/>
      <x:c r="AK286" s="9"/>
      <x:c r="AL286" s="3"/>
      <x:c r="AM286" s="3"/>
    </x:row>
    <x:row r="287" ht="21" customHeight="1">
      <x:c r="A287" s="8" t="n">
        <x:v>46280.60114583333</x:v>
      </x:c>
      <x:c r="B287" s="3" t="str">
        <x:v>AAVEUSDT</x:v>
      </x:c>
      <x:c r="C287" s="3" t="str">
        <x:v>BUY</x:v>
      </x:c>
      <x:c r="D287" s="3" t="str">
        <x:v>5707971667</x:v>
      </x:c>
      <x:c r="E287" s="9" t="n">
        <x:v>0.235</x:v>
      </x:c>
      <x:c r="F287" s="9" t="n">
        <x:v>127.28</x:v>
      </x:c>
      <x:c r="G287" s="9" t="n">
        <x:v>29.9108</x:v>
      </x:c>
      <x:c r="H287" s="9"/>
      <x:c r="I287" s="3"/>
      <x:c r="J287" s="3" t="str">
        <x:v>gross only; actual fees not recorded</x:v>
      </x:c>
      <x:c r="K287" s="3" t="str">
        <x:v>strategy buy signal</x:v>
      </x:c>
      <x:c r="L287" s="3" t="str">
        <x:v>production</x:v>
      </x:c>
      <x:c r="M287" s="10" t="n">
        <x:v>905</x:v>
      </x:c>
      <x:c r="N287" s="3" t="str">
        <x:v>USDT</x:v>
      </x:c>
      <x:c r="O287" s="9" t="n">
        <x:v>1789471499999</x:v>
      </x:c>
      <x:c r="P287" s="4" t="b">
        <x:v>0</x:v>
      </x:c>
      <x:c r="Q287" s="4" t="b">
        <x:v>1</x:v>
      </x:c>
      <x:c r="R287" s="4" t="b">
        <x:v>1</x:v>
      </x:c>
      <x:c r="S287" s="4" t="b">
        <x:v>1</x:v>
      </x:c>
      <x:c r="T287" s="4" t="b">
        <x:v>1</x:v>
      </x:c>
      <x:c r="U287" s="4" t="b">
        <x:v>1</x:v>
      </x:c>
      <x:c r="V287" s="10" t="n">
        <x:v>1789471539</x:v>
      </x:c>
      <x:c r="W287" s="3" t="str">
        <x:v>{"side": "BUY", "symbol": "AAVEUSDT", "order_id": 5707971667, "quantity": "0.23500000", "price": "127.28", "quote_amount": "29.91080000", "quote_asset": "USDT", "signal_candle_close_time": 1789471499999, "reason": "strategy buy signal", "entry_conditions": {"rsi_recovered": false, "near_support": true, "trend_ok": true, "reward_ok": true, "stop_risk_ok": true, "momentum_ok": true}, "environment": "production", "recorded_at": 1789471539}</x:v>
      </x:c>
      <x:c r="X287" s="10" t="n">
        <x:v>0</x:v>
      </x:c>
      <x:c r="Y287" s="8" t="n">
        <x:v>46280.47614583333</x:v>
      </x:c>
      <x:c r="Z287" s="3" t="str">
        <x:v>2026-09-15</x:v>
      </x:c>
      <x:c r="AA287" s="3" t="str">
        <x:v>ACTIVE / MIXED</x:v>
      </x:c>
      <x:c r="AB287" s="8" t="n">
        <x:v>46280.59616898148</x:v>
      </x:c>
      <x:c r="AC287" s="10" t="n">
        <x:v>430</x:v>
      </x:c>
      <x:c r="AD287" s="3" t="str">
        <x:v>rsi_recovered</x:v>
      </x:c>
      <x:c r="AE287" s="3"/>
      <x:c r="AF287" s="9"/>
      <x:c r="AG287" s="3"/>
      <x:c r="AH287" s="9"/>
      <x:c r="AI287" s="9"/>
      <x:c r="AJ287" s="3"/>
      <x:c r="AK287" s="9"/>
      <x:c r="AL287" s="3"/>
      <x:c r="AM287" s="3"/>
    </x:row>
    <x:row r="288" ht="21" customHeight="1">
      <x:c r="A288" s="8" t="n">
        <x:v>46280.601168981484</x:v>
      </x:c>
      <x:c r="B288" s="3" t="str">
        <x:v>WLDUSDT</x:v>
      </x:c>
      <x:c r="C288" s="3" t="str">
        <x:v>BUY</x:v>
      </x:c>
      <x:c r="D288" s="3" t="str">
        <x:v>4154710600</x:v>
      </x:c>
      <x:c r="E288" s="9" t="n">
        <x:v>80.2</x:v>
      </x:c>
      <x:c r="F288" s="9" t="n">
        <x:v>0.3737</x:v>
      </x:c>
      <x:c r="G288" s="9" t="n">
        <x:v>29.97074</x:v>
      </x:c>
      <x:c r="H288" s="9"/>
      <x:c r="I288" s="3"/>
      <x:c r="J288" s="3" t="str">
        <x:v>gross only; actual fees not recorded</x:v>
      </x:c>
      <x:c r="K288" s="3" t="str">
        <x:v>strategy buy signal</x:v>
      </x:c>
      <x:c r="L288" s="3" t="str">
        <x:v>production</x:v>
      </x:c>
      <x:c r="M288" s="10" t="n">
        <x:v>906</x:v>
      </x:c>
      <x:c r="N288" s="3" t="str">
        <x:v>USDT</x:v>
      </x:c>
      <x:c r="O288" s="9" t="n">
        <x:v>1789471499999</x:v>
      </x:c>
      <x:c r="P288" s="4" t="b">
        <x:v>0</x:v>
      </x:c>
      <x:c r="Q288" s="4" t="b">
        <x:v>1</x:v>
      </x:c>
      <x:c r="R288" s="4" t="b">
        <x:v>1</x:v>
      </x:c>
      <x:c r="S288" s="4" t="b">
        <x:v>1</x:v>
      </x:c>
      <x:c r="T288" s="4" t="b">
        <x:v>1</x:v>
      </x:c>
      <x:c r="U288" s="4" t="b">
        <x:v>1</x:v>
      </x:c>
      <x:c r="V288" s="10" t="n">
        <x:v>1789471541</x:v>
      </x:c>
      <x:c r="W288" s="3" t="str">
        <x:v>{"side": "BUY", "symbol": "WLDUSDT", "order_id": 4154710600, "quantity": "80.20000000", "price": "0.3737", "quote_amount": "29.97074000", "quote_asset": "USDT", "signal_candle_close_time": 1789471499999, "reason": "strategy buy signal", "entry_conditions": {"rsi_recovered": false, "near_support": true, "trend_ok": true, "reward_ok": true, "stop_risk_ok": true, "momentum_ok": true}, "environment": "production", "recorded_at": 1789471541}</x:v>
      </x:c>
      <x:c r="X288" s="10" t="n">
        <x:v>0</x:v>
      </x:c>
      <x:c r="Y288" s="8" t="n">
        <x:v>46280.476168981484</x:v>
      </x:c>
      <x:c r="Z288" s="3" t="str">
        <x:v>2026-09-15</x:v>
      </x:c>
      <x:c r="AA288" s="3" t="str">
        <x:v>ACTIVE / MIXED</x:v>
      </x:c>
      <x:c r="AB288" s="8" t="n">
        <x:v>46280.59616898148</x:v>
      </x:c>
      <x:c r="AC288" s="10" t="n">
        <x:v>432</x:v>
      </x:c>
      <x:c r="AD288" s="3" t="str">
        <x:v>rsi_recovered</x:v>
      </x:c>
      <x:c r="AE288" s="3"/>
      <x:c r="AF288" s="9"/>
      <x:c r="AG288" s="3"/>
      <x:c r="AH288" s="9"/>
      <x:c r="AI288" s="9"/>
      <x:c r="AJ288" s="3"/>
      <x:c r="AK288" s="9"/>
      <x:c r="AL288" s="3"/>
      <x:c r="AM288" s="3"/>
    </x:row>
    <x:row r="289" ht="21" customHeight="1">
      <x:c r="A289" s="8" t="n">
        <x:v>46280.604409722226</x:v>
      </x:c>
      <x:c r="B289" s="3" t="str">
        <x:v>ADAUSDT</x:v>
      </x:c>
      <x:c r="C289" s="3" t="str">
        <x:v>SELL</x:v>
      </x:c>
      <x:c r="D289" s="3" t="str">
        <x:v>8788995284</x:v>
      </x:c>
      <x:c r="E289" s="9" t="n">
        <x:v>145.9</x:v>
      </x:c>
      <x:c r="F289" s="9" t="n">
        <x:v>0.2046</x:v>
      </x:c>
      <x:c r="G289" s="9" t="n">
        <x:v>29.85114</x:v>
      </x:c>
      <x:c r="H289" s="9" t="n">
        <x:v>-0.08754</x:v>
      </x:c>
      <x:c r="I289" s="3"/>
      <x:c r="J289" s="3" t="str">
        <x:v>gross only; actual fees not recorded</x:v>
      </x:c>
      <x:c r="K289" s="3" t="str">
        <x:v>stop loss</x:v>
      </x:c>
      <x:c r="L289" s="3" t="str">
        <x:v>production</x:v>
      </x:c>
      <x:c r="M289" s="10" t="n">
        <x:v>907</x:v>
      </x:c>
      <x:c r="N289" s="3" t="str">
        <x:v>USDT</x:v>
      </x:c>
      <x:c r="O289" s="9"/>
      <x:c r="P289" s="3"/>
      <x:c r="Q289" s="3"/>
      <x:c r="R289" s="3"/>
      <x:c r="S289" s="3"/>
      <x:c r="T289" s="3"/>
      <x:c r="U289" s="3"/>
      <x:c r="V289" s="10" t="n">
        <x:v>1789471821</x:v>
      </x:c>
      <x:c r="W289" s="3" t="str">
        <x:v>{"side": "SELL", "symbol": "ADAUSDT", "order_id": 8788995284, "quantity": "145.90000000", "price": "0.2046", "quote_amount": "29.85114000", "quote_asset": "USDT", "reason": "stop loss", "estimated_pnl_usdt": "-0.087540000000", "environment": "production", "recorded_at": 1789471821}</x:v>
      </x:c>
      <x:c r="X289" s="10" t="n">
        <x:v>0</x:v>
      </x:c>
      <x:c r="Y289" s="8" t="n">
        <x:v>46280.479409722226</x:v>
      </x:c>
      <x:c r="Z289" s="3" t="str">
        <x:v>2026-09-15</x:v>
      </x:c>
      <x:c r="AA289" s="3" t="str">
        <x:v>ACTIVE / MIXED</x:v>
      </x:c>
      <x:c r="AB289" s="8" t="n">
        <x:v>46280.59616898148</x:v>
      </x:c>
      <x:c r="AC289" s="10" t="n">
        <x:v>712</x:v>
      </x:c>
      <x:c r="AD289" s="3"/>
      <x:c r="AE289" s="3"/>
      <x:c r="AF289" s="9"/>
      <x:c r="AG289" s="3"/>
      <x:c r="AH289" s="9"/>
      <x:c r="AI289" s="9"/>
      <x:c r="AJ289" s="3"/>
      <x:c r="AK289" s="9"/>
      <x:c r="AL289" s="3"/>
      <x:c r="AM289" s="3"/>
    </x:row>
    <x:row r="290" ht="21" customHeight="1">
      <x:c r="A290" s="8" t="n">
        <x:v>46280.60806712963</x:v>
      </x:c>
      <x:c r="B290" s="3" t="str">
        <x:v>WLDUSDT</x:v>
      </x:c>
      <x:c r="C290" s="3" t="str">
        <x:v>SELL</x:v>
      </x:c>
      <x:c r="D290" s="3" t="str">
        <x:v>4154721666</x:v>
      </x:c>
      <x:c r="E290" s="9" t="n">
        <x:v>80.1</x:v>
      </x:c>
      <x:c r="F290" s="9" t="n">
        <x:v>0.3713</x:v>
      </x:c>
      <x:c r="G290" s="9" t="n">
        <x:v>29.74113</x:v>
      </x:c>
      <x:c r="H290" s="9" t="n">
        <x:v>-0.19224</x:v>
      </x:c>
      <x:c r="I290" s="3"/>
      <x:c r="J290" s="3" t="str">
        <x:v>gross only; actual fees not recorded</x:v>
      </x:c>
      <x:c r="K290" s="3" t="str">
        <x:v>stop loss</x:v>
      </x:c>
      <x:c r="L290" s="3" t="str">
        <x:v>production</x:v>
      </x:c>
      <x:c r="M290" s="10" t="n">
        <x:v>908</x:v>
      </x:c>
      <x:c r="N290" s="3" t="str">
        <x:v>USDT</x:v>
      </x:c>
      <x:c r="O290" s="9"/>
      <x:c r="P290" s="3"/>
      <x:c r="Q290" s="3"/>
      <x:c r="R290" s="3"/>
      <x:c r="S290" s="3"/>
      <x:c r="T290" s="3"/>
      <x:c r="U290" s="3"/>
      <x:c r="V290" s="10" t="n">
        <x:v>1789472137</x:v>
      </x:c>
      <x:c r="W290" s="3" t="str">
        <x:v>{"side": "SELL", "symbol": "WLDUSDT", "order_id": 4154721666, "quantity": "80.10000000", "price": "0.3713", "quote_amount": "29.74113000", "quote_asset": "USDT", "reason": "stop loss", "estimated_pnl_usdt": "-0.192240000000", "environment": "production", "recorded_at": 1789472137}</x:v>
      </x:c>
      <x:c r="X290" s="10" t="n">
        <x:v>0</x:v>
      </x:c>
      <x:c r="Y290" s="8" t="n">
        <x:v>46280.48306712963</x:v>
      </x:c>
      <x:c r="Z290" s="3" t="str">
        <x:v>2026-09-15</x:v>
      </x:c>
      <x:c r="AA290" s="3" t="str">
        <x:v>ACTIVE / WEAK</x:v>
      </x:c>
      <x:c r="AB290" s="8" t="n">
        <x:v>46280.60724537037</x:v>
      </x:c>
      <x:c r="AC290" s="10" t="n">
        <x:v>71</x:v>
      </x:c>
      <x:c r="AD290" s="3"/>
      <x:c r="AE290" s="3"/>
      <x:c r="AF290" s="9"/>
      <x:c r="AG290" s="3"/>
      <x:c r="AH290" s="9"/>
      <x:c r="AI290" s="9"/>
      <x:c r="AJ290" s="3"/>
      <x:c r="AK290" s="9"/>
      <x:c r="AL290" s="3"/>
      <x:c r="AM290" s="3"/>
    </x:row>
    <x:row r="291" ht="21" customHeight="1">
      <x:c r="A291" s="8" t="n">
        <x:v>46280.60810185185</x:v>
      </x:c>
      <x:c r="B291" s="3" t="str">
        <x:v>SUIUSDT</x:v>
      </x:c>
      <x:c r="C291" s="3" t="str">
        <x:v>SELL</x:v>
      </x:c>
      <x:c r="D291" s="3" t="str">
        <x:v>8854986049</x:v>
      </x:c>
      <x:c r="E291" s="9" t="n">
        <x:v>41.6</x:v>
      </x:c>
      <x:c r="F291" s="9" t="n">
        <x:v>0.7058</x:v>
      </x:c>
      <x:c r="G291" s="9" t="n">
        <x:v>29.36128</x:v>
      </x:c>
      <x:c r="H291" s="9" t="n">
        <x:v>-0.17056</x:v>
      </x:c>
      <x:c r="I291" s="3"/>
      <x:c r="J291" s="3" t="str">
        <x:v>gross only; actual fees not recorded</x:v>
      </x:c>
      <x:c r="K291" s="3" t="str">
        <x:v>stop loss</x:v>
      </x:c>
      <x:c r="L291" s="3" t="str">
        <x:v>production</x:v>
      </x:c>
      <x:c r="M291" s="10" t="n">
        <x:v>909</x:v>
      </x:c>
      <x:c r="N291" s="3" t="str">
        <x:v>USDT</x:v>
      </x:c>
      <x:c r="O291" s="9"/>
      <x:c r="P291" s="3"/>
      <x:c r="Q291" s="3"/>
      <x:c r="R291" s="3"/>
      <x:c r="S291" s="3"/>
      <x:c r="T291" s="3"/>
      <x:c r="U291" s="3"/>
      <x:c r="V291" s="10" t="n">
        <x:v>1789472140</x:v>
      </x:c>
      <x:c r="W291" s="3" t="str">
        <x:v>{"side": "SELL", "symbol": "SUIUSDT", "order_id": 8854986049, "quantity": "41.60000000", "price": "0.7058", "quote_amount": "29.36128000", "quote_asset": "USDT", "reason": "stop loss", "estimated_pnl_usdt": "-0.170560000000", "environment": "production", "recorded_at": 1789472140}</x:v>
      </x:c>
      <x:c r="X291" s="10" t="n">
        <x:v>0</x:v>
      </x:c>
      <x:c r="Y291" s="8" t="n">
        <x:v>46280.48310185185</x:v>
      </x:c>
      <x:c r="Z291" s="3" t="str">
        <x:v>2026-09-15</x:v>
      </x:c>
      <x:c r="AA291" s="3" t="str">
        <x:v>ACTIVE / WEAK</x:v>
      </x:c>
      <x:c r="AB291" s="8" t="n">
        <x:v>46280.60724537037</x:v>
      </x:c>
      <x:c r="AC291" s="10" t="n">
        <x:v>74</x:v>
      </x:c>
      <x:c r="AD291" s="3"/>
      <x:c r="AE291" s="3"/>
      <x:c r="AF291" s="9"/>
      <x:c r="AG291" s="3"/>
      <x:c r="AH291" s="9"/>
      <x:c r="AI291" s="9"/>
      <x:c r="AJ291" s="3"/>
      <x:c r="AK291" s="9"/>
      <x:c r="AL291" s="3"/>
      <x:c r="AM291" s="3"/>
    </x:row>
    <x:row r="292" ht="21" customHeight="1">
      <x:c r="A292" s="8" t="n">
        <x:v>46280.60815972222</x:v>
      </x:c>
      <x:c r="B292" s="3" t="str">
        <x:v>SNDKBUSDT</x:v>
      </x:c>
      <x:c r="C292" s="3" t="str">
        <x:v>BUY</x:v>
      </x:c>
      <x:c r="D292" s="3" t="str">
        <x:v>347941912</x:v>
      </x:c>
      <x:c r="E292" s="9" t="n">
        <x:v>0.019</x:v>
      </x:c>
      <x:c r="F292" s="9" t="n">
        <x:v>1571.2326315789473</x:v>
      </x:c>
      <x:c r="G292" s="9" t="n">
        <x:v>29.85342</x:v>
      </x:c>
      <x:c r="H292" s="9"/>
      <x:c r="I292" s="3"/>
      <x:c r="J292" s="3" t="str">
        <x:v>gross only; actual fees not recorded</x:v>
      </x:c>
      <x:c r="K292" s="3" t="str">
        <x:v>strategy buy signal</x:v>
      </x:c>
      <x:c r="L292" s="3" t="str">
        <x:v>production</x:v>
      </x:c>
      <x:c r="M292" s="10" t="n">
        <x:v>910</x:v>
      </x:c>
      <x:c r="N292" s="3" t="str">
        <x:v>USDT</x:v>
      </x:c>
      <x:c r="O292" s="9" t="n">
        <x:v>1789472099999</x:v>
      </x:c>
      <x:c r="P292" s="4" t="b">
        <x:v>0</x:v>
      </x:c>
      <x:c r="Q292" s="4" t="b">
        <x:v>1</x:v>
      </x:c>
      <x:c r="R292" s="4" t="b">
        <x:v>1</x:v>
      </x:c>
      <x:c r="S292" s="4" t="b">
        <x:v>1</x:v>
      </x:c>
      <x:c r="T292" s="4" t="b">
        <x:v>1</x:v>
      </x:c>
      <x:c r="U292" s="4" t="b">
        <x:v>1</x:v>
      </x:c>
      <x:c r="V292" s="10" t="n">
        <x:v>1789472145</x:v>
      </x:c>
      <x:c r="W292" s="3" t="str">
        <x:v>{"side": "BUY", "symbol": "SNDKBUSDT", "order_id": 347941912, "quantity": "0.01900000", "price": "1571.232631578947368421052632", "quote_amount": "29.85342000", "quote_asset": "USDT", "signal_candle_close_time": 1789472099999, "reason": "strategy buy signal", "entry_conditions": {"rsi_recovered": false, "near_support": true, "trend_ok": true, "reward_ok": true, "stop_risk_ok": true, "momentum_ok": true}, "environment": "production", "recorded_at": 1789472145}</x:v>
      </x:c>
      <x:c r="X292" s="10" t="n">
        <x:v>0</x:v>
      </x:c>
      <x:c r="Y292" s="8" t="n">
        <x:v>46280.48315972222</x:v>
      </x:c>
      <x:c r="Z292" s="3" t="str">
        <x:v>2026-09-15</x:v>
      </x:c>
      <x:c r="AA292" s="3" t="str">
        <x:v>ACTIVE / WEAK</x:v>
      </x:c>
      <x:c r="AB292" s="8" t="n">
        <x:v>46280.60724537037</x:v>
      </x:c>
      <x:c r="AC292" s="10" t="n">
        <x:v>79</x:v>
      </x:c>
      <x:c r="AD292" s="3" t="str">
        <x:v>rsi_recovered</x:v>
      </x:c>
      <x:c r="AE292" s="3"/>
      <x:c r="AF292" s="9"/>
      <x:c r="AG292" s="3"/>
      <x:c r="AH292" s="9"/>
      <x:c r="AI292" s="9"/>
      <x:c r="AJ292" s="3"/>
      <x:c r="AK292" s="9"/>
      <x:c r="AL292" s="3"/>
      <x:c r="AM292" s="3"/>
    </x:row>
    <x:row r="293" ht="21" customHeight="1">
      <x:c r="A293" s="8" t="n">
        <x:v>46280.61150462963</x:v>
      </x:c>
      <x:c r="B293" s="3" t="str">
        <x:v>AAVEUSDT</x:v>
      </x:c>
      <x:c r="C293" s="3" t="str">
        <x:v>SELL</x:v>
      </x:c>
      <x:c r="D293" s="3" t="str">
        <x:v>5707986202</x:v>
      </x:c>
      <x:c r="E293" s="9" t="n">
        <x:v>0.235</x:v>
      </x:c>
      <x:c r="F293" s="9" t="n">
        <x:v>126.7048085106383</x:v>
      </x:c>
      <x:c r="G293" s="9" t="n">
        <x:v>29.77563</x:v>
      </x:c>
      <x:c r="H293" s="9" t="n">
        <x:v>-0.13517</x:v>
      </x:c>
      <x:c r="I293" s="3"/>
      <x:c r="J293" s="3" t="str">
        <x:v>gross only; actual fees not recorded</x:v>
      </x:c>
      <x:c r="K293" s="3" t="str">
        <x:v>stop loss</x:v>
      </x:c>
      <x:c r="L293" s="3" t="str">
        <x:v>production</x:v>
      </x:c>
      <x:c r="M293" s="10" t="n">
        <x:v>911</x:v>
      </x:c>
      <x:c r="N293" s="3" t="str">
        <x:v>USDT</x:v>
      </x:c>
      <x:c r="O293" s="9"/>
      <x:c r="P293" s="3"/>
      <x:c r="Q293" s="3"/>
      <x:c r="R293" s="3"/>
      <x:c r="S293" s="3"/>
      <x:c r="T293" s="3"/>
      <x:c r="U293" s="3"/>
      <x:c r="V293" s="10" t="n">
        <x:v>1789472434</x:v>
      </x:c>
      <x:c r="W293" s="3" t="str">
        <x:v>{"side": "SELL", "symbol": "AAVEUSDT", "order_id": 5707986202, "quantity": "0.23500000", "price": "126.7048085106382978723404255", "quote_amount": "29.77563000", "quote_asset": "USDT", "reason": "stop loss", "estimated_pnl_usdt": "-0.1351700000000000000000000075", "environment": "production", "recorded_at": 1789472434}</x:v>
      </x:c>
      <x:c r="X293" s="10" t="n">
        <x:v>0</x:v>
      </x:c>
      <x:c r="Y293" s="8" t="n">
        <x:v>46280.48650462963</x:v>
      </x:c>
      <x:c r="Z293" s="3" t="str">
        <x:v>2026-09-15</x:v>
      </x:c>
      <x:c r="AA293" s="3" t="str">
        <x:v>ACTIVE / WEAK</x:v>
      </x:c>
      <x:c r="AB293" s="8" t="n">
        <x:v>46280.60724537037</x:v>
      </x:c>
      <x:c r="AC293" s="10" t="n">
        <x:v>368</x:v>
      </x:c>
      <x:c r="AD293" s="3"/>
      <x:c r="AE293" s="3"/>
      <x:c r="AF293" s="9"/>
      <x:c r="AG293" s="3"/>
      <x:c r="AH293" s="9"/>
      <x:c r="AI293" s="9"/>
      <x:c r="AJ293" s="3"/>
      <x:c r="AK293" s="9"/>
      <x:c r="AL293" s="3"/>
      <x:c r="AM293" s="3"/>
    </x:row>
    <x:row r="294" ht="21" customHeight="1">
      <x:c r="A294" s="8" t="n">
        <x:v>46280.6147337963</x:v>
      </x:c>
      <x:c r="B294" s="3" t="str">
        <x:v>CRCLBUSDT</x:v>
      </x:c>
      <x:c r="C294" s="3" t="str">
        <x:v>BUY</x:v>
      </x:c>
      <x:c r="D294" s="3" t="str">
        <x:v>89785862</x:v>
      </x:c>
      <x:c r="E294" s="9" t="n">
        <x:v>0.32</x:v>
      </x:c>
      <x:c r="F294" s="9" t="n">
        <x:v>92.63</x:v>
      </x:c>
      <x:c r="G294" s="9" t="n">
        <x:v>29.6416</x:v>
      </x:c>
      <x:c r="H294" s="9"/>
      <x:c r="I294" s="3"/>
      <x:c r="J294" s="3" t="str">
        <x:v>gross only; actual fees not recorded</x:v>
      </x:c>
      <x:c r="K294" s="3" t="str">
        <x:v>strategy buy signal</x:v>
      </x:c>
      <x:c r="L294" s="3" t="str">
        <x:v>production</x:v>
      </x:c>
      <x:c r="M294" s="10" t="n">
        <x:v>912</x:v>
      </x:c>
      <x:c r="N294" s="3" t="str">
        <x:v>USDT</x:v>
      </x:c>
      <x:c r="O294" s="9" t="n">
        <x:v>1789472699999</x:v>
      </x:c>
      <x:c r="P294" s="4" t="b">
        <x:v>0</x:v>
      </x:c>
      <x:c r="Q294" s="4" t="b">
        <x:v>1</x:v>
      </x:c>
      <x:c r="R294" s="4" t="b">
        <x:v>1</x:v>
      </x:c>
      <x:c r="S294" s="4" t="b">
        <x:v>1</x:v>
      </x:c>
      <x:c r="T294" s="4" t="b">
        <x:v>1</x:v>
      </x:c>
      <x:c r="U294" s="4" t="b">
        <x:v>1</x:v>
      </x:c>
      <x:c r="V294" s="10" t="n">
        <x:v>1789472713</x:v>
      </x:c>
      <x:c r="W294" s="3" t="str">
        <x:v>{"side": "BUY", "symbol": "CRCLBUSDT", "order_id": 89785862, "quantity": "0.32000000", "price": "92.63", "quote_amount": "29.64160000", "quote_asset": "USDT", "signal_candle_close_time": 1789472699999, "reason": "strategy buy signal", "entry_conditions": {"rsi_recovered": false, "near_support": true, "trend_ok": true, "reward_ok": true, "stop_risk_ok": true, "momentum_ok": true}, "environment": "production", "recorded_at": 1789472713}</x:v>
      </x:c>
      <x:c r="X294" s="10" t="n">
        <x:v>0</x:v>
      </x:c>
      <x:c r="Y294" s="8" t="n">
        <x:v>46280.4897337963</x:v>
      </x:c>
      <x:c r="Z294" s="3" t="str">
        <x:v>2026-09-15</x:v>
      </x:c>
      <x:c r="AA294" s="3" t="str">
        <x:v>ACTIVE / WEAK</x:v>
      </x:c>
      <x:c r="AB294" s="8" t="n">
        <x:v>46280.60724537037</x:v>
      </x:c>
      <x:c r="AC294" s="10" t="n">
        <x:v>647</x:v>
      </x:c>
      <x:c r="AD294" s="3" t="str">
        <x:v>rsi_recovered</x:v>
      </x:c>
      <x:c r="AE294" s="3"/>
      <x:c r="AF294" s="9"/>
      <x:c r="AG294" s="3"/>
      <x:c r="AH294" s="9"/>
      <x:c r="AI294" s="9"/>
      <x:c r="AJ294" s="3"/>
      <x:c r="AK294" s="9"/>
      <x:c r="AL294" s="3"/>
      <x:c r="AM294" s="3"/>
    </x:row>
    <x:row r="295" ht="21" customHeight="1">
      <x:c r="A295" s="8" t="n">
        <x:v>46280.614756944444</x:v>
      </x:c>
      <x:c r="B295" s="3" t="str">
        <x:v>BNCBUSDT</x:v>
      </x:c>
      <x:c r="C295" s="3" t="str">
        <x:v>BUY</x:v>
      </x:c>
      <x:c r="D295" s="3" t="str">
        <x:v>397367</x:v>
      </x:c>
      <x:c r="E295" s="9" t="n">
        <x:v>5.8</x:v>
      </x:c>
      <x:c r="F295" s="9" t="n">
        <x:v>5.13</x:v>
      </x:c>
      <x:c r="G295" s="9" t="n">
        <x:v>29.754</x:v>
      </x:c>
      <x:c r="H295" s="9"/>
      <x:c r="I295" s="3"/>
      <x:c r="J295" s="3" t="str">
        <x:v>gross only; actual fees not recorded</x:v>
      </x:c>
      <x:c r="K295" s="3" t="str">
        <x:v>strategy buy signal</x:v>
      </x:c>
      <x:c r="L295" s="3" t="str">
        <x:v>production</x:v>
      </x:c>
      <x:c r="M295" s="10" t="n">
        <x:v>913</x:v>
      </x:c>
      <x:c r="N295" s="3" t="str">
        <x:v>USDT</x:v>
      </x:c>
      <x:c r="O295" s="9" t="n">
        <x:v>1789472699999</x:v>
      </x:c>
      <x:c r="P295" s="4" t="b">
        <x:v>0</x:v>
      </x:c>
      <x:c r="Q295" s="4" t="b">
        <x:v>1</x:v>
      </x:c>
      <x:c r="R295" s="4" t="b">
        <x:v>1</x:v>
      </x:c>
      <x:c r="S295" s="4" t="b">
        <x:v>1</x:v>
      </x:c>
      <x:c r="T295" s="4" t="b">
        <x:v>1</x:v>
      </x:c>
      <x:c r="U295" s="4" t="b">
        <x:v>1</x:v>
      </x:c>
      <x:c r="V295" s="10" t="n">
        <x:v>1789472715</x:v>
      </x:c>
      <x:c r="W295" s="3" t="str">
        <x:v>{"side": "BUY", "symbol": "BNCBUSDT", "order_id": 397367, "quantity": "5.80000000", "price": "5.13", "quote_amount": "29.75400000", "quote_asset": "USDT", "signal_candle_close_time": 1789472699999, "reason": "strategy buy signal", "entry_conditions": {"rsi_recovered": false, "near_support": true, "trend_ok": true, "reward_ok": true, "stop_risk_ok": true, "momentum_ok": true}, "environment": "production", "recorded_at": 1789472715}</x:v>
      </x:c>
      <x:c r="X295" s="10" t="n">
        <x:v>0</x:v>
      </x:c>
      <x:c r="Y295" s="8" t="n">
        <x:v>46280.489756944444</x:v>
      </x:c>
      <x:c r="Z295" s="3" t="str">
        <x:v>2026-09-15</x:v>
      </x:c>
      <x:c r="AA295" s="3" t="str">
        <x:v>ACTIVE / WEAK</x:v>
      </x:c>
      <x:c r="AB295" s="8" t="n">
        <x:v>46280.60724537037</x:v>
      </x:c>
      <x:c r="AC295" s="10" t="n">
        <x:v>649</x:v>
      </x:c>
      <x:c r="AD295" s="3" t="str">
        <x:v>rsi_recovered</x:v>
      </x:c>
      <x:c r="AE295" s="3"/>
      <x:c r="AF295" s="9"/>
      <x:c r="AG295" s="3"/>
      <x:c r="AH295" s="9"/>
      <x:c r="AI295" s="9"/>
      <x:c r="AJ295" s="3"/>
      <x:c r="AK295" s="9"/>
      <x:c r="AL295" s="3"/>
      <x:c r="AM295" s="3"/>
    </x:row>
    <x:row r="296" ht="21" customHeight="1">
      <x:c r="A296" s="8" t="n">
        <x:v>46280.641435185185</x:v>
      </x:c>
      <x:c r="B296" s="3" t="str">
        <x:v>PEPEUSDT</x:v>
      </x:c>
      <x:c r="C296" s="3" t="str">
        <x:v>SELL</x:v>
      </x:c>
      <x:c r="D296" s="3" t="str">
        <x:v>5416743935</x:v>
      </x:c>
      <x:c r="E296" s="9" t="n">
        <x:v>8712209</x:v>
      </x:c>
      <x:c r="F296" s="9" t="n">
        <x:v>0.00000346</x:v>
      </x:c>
      <x:c r="G296" s="9" t="n">
        <x:v>30.14424314</x:v>
      </x:c>
      <x:c r="H296" s="9" t="n">
        <x:v>0.17424418</x:v>
      </x:c>
      <x:c r="I296" s="3"/>
      <x:c r="J296" s="3" t="str">
        <x:v>gross only; actual fees not recorded</x:v>
      </x:c>
      <x:c r="K296" s="3" t="str">
        <x:v>take profit</x:v>
      </x:c>
      <x:c r="L296" s="3" t="str">
        <x:v>production</x:v>
      </x:c>
      <x:c r="M296" s="10" t="n">
        <x:v>914</x:v>
      </x:c>
      <x:c r="N296" s="3" t="str">
        <x:v>USDT</x:v>
      </x:c>
      <x:c r="O296" s="9"/>
      <x:c r="P296" s="3"/>
      <x:c r="Q296" s="3"/>
      <x:c r="R296" s="3"/>
      <x:c r="S296" s="3"/>
      <x:c r="T296" s="3"/>
      <x:c r="U296" s="3"/>
      <x:c r="V296" s="10" t="n">
        <x:v>1789475020</x:v>
      </x:c>
      <x:c r="W296" s="3" t="str">
        <x:v>{"side": "SELL", "symbol": "PEPEUSDT", "order_id": 5416743935, "quantity": "8712209.00", "price": "0.00000346", "quote_amount": "30.14424314", "quote_asset": "USDT", "reason": "take profit", "estimated_pnl_usdt": "0.1742441800", "environment": "production", "recorded_at": 1789475020}</x:v>
      </x:c>
      <x:c r="X296" s="10" t="n">
        <x:v>0</x:v>
      </x:c>
      <x:c r="Y296" s="8" t="n">
        <x:v>46280.516435185185</x:v>
      </x:c>
      <x:c r="Z296" s="3" t="str">
        <x:v>2026-09-15</x:v>
      </x:c>
      <x:c r="AA296" s="3" t="str">
        <x:v>ACTIVE / MIXED</x:v>
      </x:c>
      <x:c r="AB296" s="8" t="n">
        <x:v>46280.639189814814</x:v>
      </x:c>
      <x:c r="AC296" s="10" t="n">
        <x:v>194</x:v>
      </x:c>
      <x:c r="AD296" s="3"/>
      <x:c r="AE296" s="3"/>
      <x:c r="AF296" s="9"/>
      <x:c r="AG296" s="3"/>
      <x:c r="AH296" s="9"/>
      <x:c r="AI296" s="9"/>
      <x:c r="AJ296" s="3"/>
      <x:c r="AK296" s="9"/>
      <x:c r="AL296" s="3"/>
      <x:c r="AM296" s="3"/>
    </x:row>
    <x:row r="297" ht="21" customHeight="1">
      <x:c r="A297" s="8" t="n">
        <x:v>46280.64256944445</x:v>
      </x:c>
      <x:c r="B297" s="3" t="str">
        <x:v>SNDKBUSDT</x:v>
      </x:c>
      <x:c r="C297" s="3" t="str">
        <x:v>SELL</x:v>
      </x:c>
      <x:c r="D297" s="3" t="str">
        <x:v>348017076</x:v>
      </x:c>
      <x:c r="E297" s="9" t="n">
        <x:v>0.019</x:v>
      </x:c>
      <x:c r="F297" s="9" t="n">
        <x:v>1566.12</x:v>
      </x:c>
      <x:c r="G297" s="9" t="n">
        <x:v>29.75628</x:v>
      </x:c>
      <x:c r="H297" s="9" t="n">
        <x:v>-0.09714</x:v>
      </x:c>
      <x:c r="I297" s="3"/>
      <x:c r="J297" s="3" t="str">
        <x:v>gross only; actual fees not recorded</x:v>
      </x:c>
      <x:c r="K297" s="3" t="str">
        <x:v>stop loss</x:v>
      </x:c>
      <x:c r="L297" s="3" t="str">
        <x:v>production</x:v>
      </x:c>
      <x:c r="M297" s="10" t="n">
        <x:v>915</x:v>
      </x:c>
      <x:c r="N297" s="3" t="str">
        <x:v>USDT</x:v>
      </x:c>
      <x:c r="O297" s="9"/>
      <x:c r="P297" s="3"/>
      <x:c r="Q297" s="3"/>
      <x:c r="R297" s="3"/>
      <x:c r="S297" s="3"/>
      <x:c r="T297" s="3"/>
      <x:c r="U297" s="3"/>
      <x:c r="V297" s="10" t="n">
        <x:v>1789475118</x:v>
      </x:c>
      <x:c r="W297" s="3" t="str">
        <x:v>{"side": "SELL", "symbol": "SNDKBUSDT", "order_id": 348017076, "quantity": "0.01900000", "price": "1566.12", "quote_amount": "29.75628000", "quote_asset": "USDT", "reason": "stop loss", "estimated_pnl_usdt": "-0.09714000000000000000000000800", "environment": "production", "recorded_at": 1789475118}</x:v>
      </x:c>
      <x:c r="X297" s="10" t="n">
        <x:v>0</x:v>
      </x:c>
      <x:c r="Y297" s="8" t="n">
        <x:v>46280.51756944445</x:v>
      </x:c>
      <x:c r="Z297" s="3" t="str">
        <x:v>2026-09-15</x:v>
      </x:c>
      <x:c r="AA297" s="3" t="str">
        <x:v>ACTIVE / MIXED</x:v>
      </x:c>
      <x:c r="AB297" s="8" t="n">
        <x:v>46280.639189814814</x:v>
      </x:c>
      <x:c r="AC297" s="10" t="n">
        <x:v>292</x:v>
      </x:c>
      <x:c r="AD297" s="3"/>
      <x:c r="AE297" s="3"/>
      <x:c r="AF297" s="9"/>
      <x:c r="AG297" s="3"/>
      <x:c r="AH297" s="9"/>
      <x:c r="AI297" s="9"/>
      <x:c r="AJ297" s="3"/>
      <x:c r="AK297" s="9"/>
      <x:c r="AL297" s="3"/>
      <x:c r="AM297" s="3"/>
    </x:row>
    <x:row r="298" ht="21" customHeight="1">
      <x:c r="A298" s="8" t="n">
        <x:v>46280.64297453704</x:v>
      </x:c>
      <x:c r="B298" s="3" t="str">
        <x:v>SNDKBUSDT</x:v>
      </x:c>
      <x:c r="C298" s="3" t="str">
        <x:v>BUY</x:v>
      </x:c>
      <x:c r="D298" s="3" t="str">
        <x:v>348018148</x:v>
      </x:c>
      <x:c r="E298" s="9" t="n">
        <x:v>0.0191</x:v>
      </x:c>
      <x:c r="F298" s="9" t="n">
        <x:v>1566.8</x:v>
      </x:c>
      <x:c r="G298" s="9" t="n">
        <x:v>29.92588</x:v>
      </x:c>
      <x:c r="H298" s="9"/>
      <x:c r="I298" s="3"/>
      <x:c r="J298" s="3" t="str">
        <x:v>gross only; actual fees not recorded</x:v>
      </x:c>
      <x:c r="K298" s="3" t="str">
        <x:v>strategy buy signal</x:v>
      </x:c>
      <x:c r="L298" s="3" t="str">
        <x:v>production</x:v>
      </x:c>
      <x:c r="M298" s="10" t="n">
        <x:v>916</x:v>
      </x:c>
      <x:c r="N298" s="3" t="str">
        <x:v>USDT</x:v>
      </x:c>
      <x:c r="O298" s="9" t="n">
        <x:v>1789475099999</x:v>
      </x:c>
      <x:c r="P298" s="4" t="b">
        <x:v>0</x:v>
      </x:c>
      <x:c r="Q298" s="4" t="b">
        <x:v>1</x:v>
      </x:c>
      <x:c r="R298" s="4" t="b">
        <x:v>1</x:v>
      </x:c>
      <x:c r="S298" s="4" t="b">
        <x:v>1</x:v>
      </x:c>
      <x:c r="T298" s="4" t="b">
        <x:v>1</x:v>
      </x:c>
      <x:c r="U298" s="4" t="b">
        <x:v>1</x:v>
      </x:c>
      <x:c r="V298" s="10" t="n">
        <x:v>1789475153</x:v>
      </x:c>
      <x:c r="W298" s="3" t="str">
        <x:v>{"side": "BUY", "symbol": "SNDKBUSDT", "order_id": 348018148, "quantity": "0.01910000", "price": "1566.8", "quote_amount": "29.92588000", "quote_asset": "USDT", "signal_candle_close_time": 1789475099999, "reason": "strategy buy signal", "entry_conditions": {"rsi_recovered": false, "near_support": true, "trend_ok": true, "reward_ok": true, "stop_risk_ok": true, "momentum_ok": true}, "environment": "production", "recorded_at": 1789475153}</x:v>
      </x:c>
      <x:c r="X298" s="10" t="n">
        <x:v>0</x:v>
      </x:c>
      <x:c r="Y298" s="8" t="n">
        <x:v>46280.51797453704</x:v>
      </x:c>
      <x:c r="Z298" s="3" t="str">
        <x:v>2026-09-15</x:v>
      </x:c>
      <x:c r="AA298" s="3" t="str">
        <x:v>ACTIVE / MIXED</x:v>
      </x:c>
      <x:c r="AB298" s="8" t="n">
        <x:v>46280.639189814814</x:v>
      </x:c>
      <x:c r="AC298" s="10" t="n">
        <x:v>327</x:v>
      </x:c>
      <x:c r="AD298" s="3" t="str">
        <x:v>rsi_recovered</x:v>
      </x:c>
      <x:c r="AE298" s="3"/>
      <x:c r="AF298" s="9"/>
      <x:c r="AG298" s="3"/>
      <x:c r="AH298" s="9"/>
      <x:c r="AI298" s="9"/>
      <x:c r="AJ298" s="3"/>
      <x:c r="AK298" s="9"/>
      <x:c r="AL298" s="3"/>
      <x:c r="AM298" s="3"/>
    </x:row>
    <x:row r="299" ht="21" customHeight="1">
      <x:c r="A299" s="8" t="n">
        <x:v>46280.65628472222</x:v>
      </x:c>
      <x:c r="B299" s="3" t="str">
        <x:v>DOGEUSDT</x:v>
      </x:c>
      <x:c r="C299" s="3" t="str">
        <x:v>BUY</x:v>
      </x:c>
      <x:c r="D299" s="3" t="str">
        <x:v>14932732859</x:v>
      </x:c>
      <x:c r="E299" s="9" t="n">
        <x:v>362</x:v>
      </x:c>
      <x:c r="F299" s="9" t="n">
        <x:v>0.08267</x:v>
      </x:c>
      <x:c r="G299" s="9" t="n">
        <x:v>29.92654</x:v>
      </x:c>
      <x:c r="H299" s="9"/>
      <x:c r="I299" s="3"/>
      <x:c r="J299" s="3" t="str">
        <x:v>gross only; actual fees not recorded</x:v>
      </x:c>
      <x:c r="K299" s="3" t="str">
        <x:v>strategy buy signal</x:v>
      </x:c>
      <x:c r="L299" s="3" t="str">
        <x:v>production</x:v>
      </x:c>
      <x:c r="M299" s="10" t="n">
        <x:v>917</x:v>
      </x:c>
      <x:c r="N299" s="3" t="str">
        <x:v>USDT</x:v>
      </x:c>
      <x:c r="O299" s="9" t="n">
        <x:v>1789476299999</x:v>
      </x:c>
      <x:c r="P299" s="4" t="b">
        <x:v>0</x:v>
      </x:c>
      <x:c r="Q299" s="4" t="b">
        <x:v>1</x:v>
      </x:c>
      <x:c r="R299" s="4" t="b">
        <x:v>1</x:v>
      </x:c>
      <x:c r="S299" s="4" t="b">
        <x:v>1</x:v>
      </x:c>
      <x:c r="T299" s="4" t="b">
        <x:v>1</x:v>
      </x:c>
      <x:c r="U299" s="4" t="b">
        <x:v>1</x:v>
      </x:c>
      <x:c r="V299" s="10" t="n">
        <x:v>1789476303</x:v>
      </x:c>
      <x:c r="W299" s="3" t="str">
        <x:v>{"side": "BUY", "symbol": "DOGEUSDT", "order_id": 14932732859, "quantity": "362.00000000", "price": "0.08267", "quote_amount": "29.92654000", "quote_asset": "USDT", "signal_candle_close_time": 1789476299999, "reason": "strategy buy signal", "entry_conditions": {"rsi_recovered": false, "near_support": true, "trend_ok": true, "reward_ok": true, "stop_risk_ok": true, "momentum_ok": true}, "environment": "production", "recorded_at": 1789476303}</x:v>
      </x:c>
      <x:c r="X299" s="10" t="n">
        <x:v>0</x:v>
      </x:c>
      <x:c r="Y299" s="8" t="n">
        <x:v>46280.53128472222</x:v>
      </x:c>
      <x:c r="Z299" s="3" t="str">
        <x:v>2026-09-15</x:v>
      </x:c>
      <x:c r="AA299" s="3" t="str">
        <x:v>ACTIVE / MIXED</x:v>
      </x:c>
      <x:c r="AB299" s="8" t="n">
        <x:v>46280.64969907407</x:v>
      </x:c>
      <x:c r="AC299" s="10" t="n">
        <x:v>569</x:v>
      </x:c>
      <x:c r="AD299" s="3" t="str">
        <x:v>rsi_recovered</x:v>
      </x:c>
      <x:c r="AE299" s="3"/>
      <x:c r="AF299" s="9"/>
      <x:c r="AG299" s="3"/>
      <x:c r="AH299" s="9"/>
      <x:c r="AI299" s="9"/>
      <x:c r="AJ299" s="3"/>
      <x:c r="AK299" s="9"/>
      <x:c r="AL299" s="3"/>
      <x:c r="AM299" s="3"/>
    </x:row>
    <x:row r="300" ht="21" customHeight="1">
      <x:c r="A300" s="8" t="n">
        <x:v>46280.65663194445</x:v>
      </x:c>
      <x:c r="B300" s="3" t="str">
        <x:v>BNCBUSDT</x:v>
      </x:c>
      <x:c r="C300" s="3" t="str">
        <x:v>SELL</x:v>
      </x:c>
      <x:c r="D300" s="3" t="str">
        <x:v>421070</x:v>
      </x:c>
      <x:c r="E300" s="9" t="n">
        <x:v>5.7</x:v>
      </x:c>
      <x:c r="F300" s="9" t="n">
        <x:v>5.1</x:v>
      </x:c>
      <x:c r="G300" s="9" t="n">
        <x:v>29.07</x:v>
      </x:c>
      <x:c r="H300" s="9" t="n">
        <x:v>-0.171</x:v>
      </x:c>
      <x:c r="I300" s="3"/>
      <x:c r="J300" s="3" t="str">
        <x:v>gross only; actual fees not recorded</x:v>
      </x:c>
      <x:c r="K300" s="3" t="str">
        <x:v>stop loss</x:v>
      </x:c>
      <x:c r="L300" s="3" t="str">
        <x:v>production</x:v>
      </x:c>
      <x:c r="M300" s="10" t="n">
        <x:v>918</x:v>
      </x:c>
      <x:c r="N300" s="3" t="str">
        <x:v>USDT</x:v>
      </x:c>
      <x:c r="O300" s="9"/>
      <x:c r="P300" s="3"/>
      <x:c r="Q300" s="3"/>
      <x:c r="R300" s="3"/>
      <x:c r="S300" s="3"/>
      <x:c r="T300" s="3"/>
      <x:c r="U300" s="3"/>
      <x:c r="V300" s="10" t="n">
        <x:v>1789476333</x:v>
      </x:c>
      <x:c r="W300" s="3" t="str">
        <x:v>{"side": "SELL", "symbol": "BNCBUSDT", "order_id": 421070, "quantity": "5.70000000", "price": "5.1", "quote_amount": "29.07000000", "quote_asset": "USDT", "reason": "stop loss", "estimated_pnl_usdt": "-0.1710000000", "environment": "production", "recorded_at": 1789476333}</x:v>
      </x:c>
      <x:c r="X300" s="10" t="n">
        <x:v>0</x:v>
      </x:c>
      <x:c r="Y300" s="8" t="n">
        <x:v>46280.53163194445</x:v>
      </x:c>
      <x:c r="Z300" s="3" t="str">
        <x:v>2026-09-15</x:v>
      </x:c>
      <x:c r="AA300" s="3" t="str">
        <x:v>ACTIVE / MIXED</x:v>
      </x:c>
      <x:c r="AB300" s="8" t="n">
        <x:v>46280.64969907407</x:v>
      </x:c>
      <x:c r="AC300" s="10" t="n">
        <x:v>599</x:v>
      </x:c>
      <x:c r="AD300" s="3"/>
      <x:c r="AE300" s="3"/>
      <x:c r="AF300" s="9"/>
      <x:c r="AG300" s="3"/>
      <x:c r="AH300" s="9"/>
      <x:c r="AI300" s="9"/>
      <x:c r="AJ300" s="3"/>
      <x:c r="AK300" s="9"/>
      <x:c r="AL300" s="3"/>
      <x:c r="AM300" s="3"/>
    </x:row>
    <x:row r="301" ht="21" customHeight="1">
      <x:c r="A301" s="8" t="n">
        <x:v>46280.658796296295</x:v>
      </x:c>
      <x:c r="B301" s="3" t="str">
        <x:v>SNDKBUSDT</x:v>
      </x:c>
      <x:c r="C301" s="3" t="str">
        <x:v>SELL</x:v>
      </x:c>
      <x:c r="D301" s="3" t="str">
        <x:v>348066951</x:v>
      </x:c>
      <x:c r="E301" s="9" t="n">
        <x:v>0.0191</x:v>
      </x:c>
      <x:c r="F301" s="9" t="n">
        <x:v>1572.53</x:v>
      </x:c>
      <x:c r="G301" s="9" t="n">
        <x:v>30.035323</x:v>
      </x:c>
      <x:c r="H301" s="9" t="n">
        <x:v>0.109443</x:v>
      </x:c>
      <x:c r="I301" s="3"/>
      <x:c r="J301" s="3" t="str">
        <x:v>gross only; actual fees not recorded</x:v>
      </x:c>
      <x:c r="K301" s="3" t="str">
        <x:v>take profit</x:v>
      </x:c>
      <x:c r="L301" s="3" t="str">
        <x:v>production</x:v>
      </x:c>
      <x:c r="M301" s="10" t="n">
        <x:v>919</x:v>
      </x:c>
      <x:c r="N301" s="3" t="str">
        <x:v>USDT</x:v>
      </x:c>
      <x:c r="O301" s="9"/>
      <x:c r="P301" s="3"/>
      <x:c r="Q301" s="3"/>
      <x:c r="R301" s="3"/>
      <x:c r="S301" s="3"/>
      <x:c r="T301" s="3"/>
      <x:c r="U301" s="3"/>
      <x:c r="V301" s="10" t="n">
        <x:v>1789476520</x:v>
      </x:c>
      <x:c r="W301" s="3" t="str">
        <x:v>{"side": "SELL", "symbol": "SNDKBUSDT", "order_id": 348066951, "quantity": "0.01910000", "price": "1572.53", "quote_amount": "30.03532300", "quote_asset": "USDT", "reason": "take profit", "estimated_pnl_usdt": "0.1094430000", "environment": "production", "recorded_at": 1789476520}</x:v>
      </x:c>
      <x:c r="X301" s="10" t="n">
        <x:v>0</x:v>
      </x:c>
      <x:c r="Y301" s="8" t="n">
        <x:v>46280.533796296295</x:v>
      </x:c>
      <x:c r="Z301" s="3" t="str">
        <x:v>2026-09-15</x:v>
      </x:c>
      <x:c r="AA301" s="3" t="str">
        <x:v>ACTIVE / MIXED</x:v>
      </x:c>
      <x:c r="AB301" s="8" t="n">
        <x:v>46280.64969907407</x:v>
      </x:c>
      <x:c r="AC301" s="10" t="n">
        <x:v>786</x:v>
      </x:c>
      <x:c r="AD301" s="3"/>
      <x:c r="AE301" s="3"/>
      <x:c r="AF301" s="9"/>
      <x:c r="AG301" s="3"/>
      <x:c r="AH301" s="9"/>
      <x:c r="AI301" s="9"/>
      <x:c r="AJ301" s="3"/>
      <x:c r="AK301" s="9"/>
      <x:c r="AL301" s="3"/>
      <x:c r="AM301" s="3"/>
    </x:row>
    <x:row r="302" ht="21" customHeight="1">
      <x:c r="A302" s="8" t="n">
        <x:v>46280.65908564815</x:v>
      </x:c>
      <x:c r="B302" s="3" t="str">
        <x:v>SNDKBUSDT</x:v>
      </x:c>
      <x:c r="C302" s="3" t="str">
        <x:v>BUY</x:v>
      </x:c>
      <x:c r="D302" s="3" t="str">
        <x:v>348068500</x:v>
      </x:c>
      <x:c r="E302" s="9" t="n">
        <x:v>0.019</x:v>
      </x:c>
      <x:c r="F302" s="9" t="n">
        <x:v>1574.13</x:v>
      </x:c>
      <x:c r="G302" s="9" t="n">
        <x:v>29.90847</x:v>
      </x:c>
      <x:c r="H302" s="9"/>
      <x:c r="I302" s="3"/>
      <x:c r="J302" s="3" t="str">
        <x:v>gross only; actual fees not recorded</x:v>
      </x:c>
      <x:c r="K302" s="3" t="str">
        <x:v>strategy buy signal</x:v>
      </x:c>
      <x:c r="L302" s="3" t="str">
        <x:v>production</x:v>
      </x:c>
      <x:c r="M302" s="10" t="n">
        <x:v>920</x:v>
      </x:c>
      <x:c r="N302" s="3" t="str">
        <x:v>USDT</x:v>
      </x:c>
      <x:c r="O302" s="9" t="n">
        <x:v>1789476299999</x:v>
      </x:c>
      <x:c r="P302" s="4" t="b">
        <x:v>0</x:v>
      </x:c>
      <x:c r="Q302" s="4" t="b">
        <x:v>1</x:v>
      </x:c>
      <x:c r="R302" s="4" t="b">
        <x:v>1</x:v>
      </x:c>
      <x:c r="S302" s="4" t="b">
        <x:v>1</x:v>
      </x:c>
      <x:c r="T302" s="4" t="b">
        <x:v>1</x:v>
      </x:c>
      <x:c r="U302" s="4" t="b">
        <x:v>1</x:v>
      </x:c>
      <x:c r="V302" s="10" t="n">
        <x:v>1789476545</x:v>
      </x:c>
      <x:c r="W302" s="3" t="str">
        <x:v>{"side": "BUY", "symbol": "SNDKBUSDT", "order_id": 348068500, "quantity": "0.01900000", "price": "1574.13", "quote_amount": "29.90847000", "quote_asset": "USDT", "signal_candle_close_time": 1789476299999, "reason": "strategy buy signal", "entry_conditions": {"rsi_recovered": false, "near_support": true, "trend_ok": true, "reward_ok": true, "stop_risk_ok": true, "momentum_ok": true}, "environment": "production", "recorded_at": 1789476545}</x:v>
      </x:c>
      <x:c r="X302" s="10" t="n">
        <x:v>0</x:v>
      </x:c>
      <x:c r="Y302" s="8" t="n">
        <x:v>46280.53408564815</x:v>
      </x:c>
      <x:c r="Z302" s="3" t="str">
        <x:v>2026-09-15</x:v>
      </x:c>
      <x:c r="AA302" s="3" t="str">
        <x:v>ACTIVE / MIXED</x:v>
      </x:c>
      <x:c r="AB302" s="8" t="n">
        <x:v>46280.64969907407</x:v>
      </x:c>
      <x:c r="AC302" s="10" t="n">
        <x:v>811</x:v>
      </x:c>
      <x:c r="AD302" s="3" t="str">
        <x:v>rsi_recovered</x:v>
      </x:c>
      <x:c r="AE302" s="3"/>
      <x:c r="AF302" s="9"/>
      <x:c r="AG302" s="3"/>
      <x:c r="AH302" s="9"/>
      <x:c r="AI302" s="9"/>
      <x:c r="AJ302" s="3"/>
      <x:c r="AK302" s="9"/>
      <x:c r="AL302" s="3"/>
      <x:c r="AM302" s="3"/>
    </x:row>
    <x:row r="303" ht="21" customHeight="1">
      <x:c r="A303" s="8" t="n">
        <x:v>46280.65913194444</x:v>
      </x:c>
      <x:c r="B303" s="3" t="str">
        <x:v>CRCLBUSDT</x:v>
      </x:c>
      <x:c r="C303" s="3" t="str">
        <x:v>SELL</x:v>
      </x:c>
      <x:c r="D303" s="3" t="str">
        <x:v>89849321</x:v>
      </x:c>
      <x:c r="E303" s="9" t="n">
        <x:v>0.32</x:v>
      </x:c>
      <x:c r="F303" s="9" t="n">
        <x:v>92.98</x:v>
      </x:c>
      <x:c r="G303" s="9" t="n">
        <x:v>29.7536</x:v>
      </x:c>
      <x:c r="H303" s="9" t="n">
        <x:v>0.112</x:v>
      </x:c>
      <x:c r="I303" s="3"/>
      <x:c r="J303" s="3" t="str">
        <x:v>gross only; actual fees not recorded</x:v>
      </x:c>
      <x:c r="K303" s="3" t="str">
        <x:v>take profit</x:v>
      </x:c>
      <x:c r="L303" s="3" t="str">
        <x:v>production</x:v>
      </x:c>
      <x:c r="M303" s="10" t="n">
        <x:v>921</x:v>
      </x:c>
      <x:c r="N303" s="3" t="str">
        <x:v>USDT</x:v>
      </x:c>
      <x:c r="O303" s="9"/>
      <x:c r="P303" s="3"/>
      <x:c r="Q303" s="3"/>
      <x:c r="R303" s="3"/>
      <x:c r="S303" s="3"/>
      <x:c r="T303" s="3"/>
      <x:c r="U303" s="3"/>
      <x:c r="V303" s="10" t="n">
        <x:v>1789476549</x:v>
      </x:c>
      <x:c r="W303" s="3" t="str">
        <x:v>{"side": "SELL", "symbol": "CRCLBUSDT", "order_id": 89849321, "quantity": "0.32000000", "price": "92.98", "quote_amount": "29.75360000", "quote_asset": "USDT", "reason": "take profit", "estimated_pnl_usdt": "0.1120000000", "environment": "production", "recorded_at": 1789476549}</x:v>
      </x:c>
      <x:c r="X303" s="10" t="n">
        <x:v>0</x:v>
      </x:c>
      <x:c r="Y303" s="8" t="n">
        <x:v>46280.53413194444</x:v>
      </x:c>
      <x:c r="Z303" s="3" t="str">
        <x:v>2026-09-15</x:v>
      </x:c>
      <x:c r="AA303" s="3" t="str">
        <x:v>ACTIVE / MIXED</x:v>
      </x:c>
      <x:c r="AB303" s="8" t="n">
        <x:v>46280.64969907407</x:v>
      </x:c>
      <x:c r="AC303" s="10" t="n">
        <x:v>815</x:v>
      </x:c>
      <x:c r="AD303" s="3"/>
      <x:c r="AE303" s="3"/>
      <x:c r="AF303" s="9"/>
      <x:c r="AG303" s="3"/>
      <x:c r="AH303" s="9"/>
      <x:c r="AI303" s="9"/>
      <x:c r="AJ303" s="3"/>
      <x:c r="AK303" s="9"/>
      <x:c r="AL303" s="3"/>
      <x:c r="AM303" s="3"/>
    </x:row>
    <x:row r="304" ht="21" customHeight="1">
      <x:c r="A304" s="8" t="n">
        <x:v>46280.65943287037</x:v>
      </x:c>
      <x:c r="B304" s="3" t="str">
        <x:v>CRCLBUSDT</x:v>
      </x:c>
      <x:c r="C304" s="3" t="str">
        <x:v>BUY</x:v>
      </x:c>
      <x:c r="D304" s="3" t="str">
        <x:v>89850148</x:v>
      </x:c>
      <x:c r="E304" s="9" t="n">
        <x:v>0.32</x:v>
      </x:c>
      <x:c r="F304" s="9" t="n">
        <x:v>92.94</x:v>
      </x:c>
      <x:c r="G304" s="9" t="n">
        <x:v>29.7408</x:v>
      </x:c>
      <x:c r="H304" s="9"/>
      <x:c r="I304" s="3"/>
      <x:c r="J304" s="3" t="str">
        <x:v>gross only; actual fees not recorded</x:v>
      </x:c>
      <x:c r="K304" s="3" t="str">
        <x:v>strategy buy signal</x:v>
      </x:c>
      <x:c r="L304" s="3" t="str">
        <x:v>production</x:v>
      </x:c>
      <x:c r="M304" s="10" t="n">
        <x:v>922</x:v>
      </x:c>
      <x:c r="N304" s="3" t="str">
        <x:v>USDT</x:v>
      </x:c>
      <x:c r="O304" s="9" t="n">
        <x:v>1789476299999</x:v>
      </x:c>
      <x:c r="P304" s="4" t="b">
        <x:v>0</x:v>
      </x:c>
      <x:c r="Q304" s="4" t="b">
        <x:v>1</x:v>
      </x:c>
      <x:c r="R304" s="4" t="b">
        <x:v>1</x:v>
      </x:c>
      <x:c r="S304" s="4" t="b">
        <x:v>1</x:v>
      </x:c>
      <x:c r="T304" s="4" t="b">
        <x:v>1</x:v>
      </x:c>
      <x:c r="U304" s="4" t="b">
        <x:v>1</x:v>
      </x:c>
      <x:c r="V304" s="10" t="n">
        <x:v>1789476575</x:v>
      </x:c>
      <x:c r="W304" s="3" t="str">
        <x:v>{"side": "BUY", "symbol": "CRCLBUSDT", "order_id": 89850148, "quantity": "0.32000000", "price": "92.94", "quote_amount": "29.74080000", "quote_asset": "USDT", "signal_candle_close_time": 1789476299999, "reason": "strategy buy signal", "entry_conditions": {"rsi_recovered": false, "near_support": true, "trend_ok": true, "reward_ok": true, "stop_risk_ok": true, "momentum_ok": true}, "environment": "production", "recorded_at": 1789476575}</x:v>
      </x:c>
      <x:c r="X304" s="10" t="n">
        <x:v>0</x:v>
      </x:c>
      <x:c r="Y304" s="8" t="n">
        <x:v>46280.53443287037</x:v>
      </x:c>
      <x:c r="Z304" s="3" t="str">
        <x:v>2026-09-15</x:v>
      </x:c>
      <x:c r="AA304" s="3" t="str">
        <x:v>ACTIVE / MIXED</x:v>
      </x:c>
      <x:c r="AB304" s="8" t="n">
        <x:v>46280.64969907407</x:v>
      </x:c>
      <x:c r="AC304" s="10" t="n">
        <x:v>841</x:v>
      </x:c>
      <x:c r="AD304" s="3" t="str">
        <x:v>rsi_recovered</x:v>
      </x:c>
      <x:c r="AE304" s="3"/>
      <x:c r="AF304" s="9"/>
      <x:c r="AG304" s="3"/>
      <x:c r="AH304" s="9"/>
      <x:c r="AI304" s="9"/>
      <x:c r="AJ304" s="3"/>
      <x:c r="AK304" s="9"/>
      <x:c r="AL304" s="3"/>
      <x:c r="AM304" s="3"/>
    </x:row>
    <x:row r="305" ht="21" customHeight="1">
      <x:c r="A305" s="8" t="n">
        <x:v>46280.66196759259</x:v>
      </x:c>
      <x:c r="B305" s="3" t="str">
        <x:v>CRCLBUSDT</x:v>
      </x:c>
      <x:c r="C305" s="3" t="str">
        <x:v>SELL</x:v>
      </x:c>
      <x:c r="D305" s="3" t="str">
        <x:v>89856042</x:v>
      </x:c>
      <x:c r="E305" s="9" t="n">
        <x:v>0.32</x:v>
      </x:c>
      <x:c r="F305" s="9" t="n">
        <x:v>93.3</x:v>
      </x:c>
      <x:c r="G305" s="9" t="n">
        <x:v>29.856</x:v>
      </x:c>
      <x:c r="H305" s="9" t="n">
        <x:v>0.1152</x:v>
      </x:c>
      <x:c r="I305" s="3"/>
      <x:c r="J305" s="3" t="str">
        <x:v>gross only; actual fees not recorded</x:v>
      </x:c>
      <x:c r="K305" s="3" t="str">
        <x:v>take profit</x:v>
      </x:c>
      <x:c r="L305" s="3" t="str">
        <x:v>production</x:v>
      </x:c>
      <x:c r="M305" s="10" t="n">
        <x:v>923</x:v>
      </x:c>
      <x:c r="N305" s="3" t="str">
        <x:v>USDT</x:v>
      </x:c>
      <x:c r="O305" s="9"/>
      <x:c r="P305" s="3"/>
      <x:c r="Q305" s="3"/>
      <x:c r="R305" s="3"/>
      <x:c r="S305" s="3"/>
      <x:c r="T305" s="3"/>
      <x:c r="U305" s="3"/>
      <x:c r="V305" s="10" t="n">
        <x:v>1789476794</x:v>
      </x:c>
      <x:c r="W305" s="3" t="str">
        <x:v>{"side": "SELL", "symbol": "CRCLBUSDT", "order_id": 89856042, "quantity": "0.32000000", "price": "93.3", "quote_amount": "29.85600000", "quote_asset": "USDT", "reason": "take profit", "estimated_pnl_usdt": "0.1152000000", "environment": "production", "recorded_at": 1789476794}</x:v>
      </x:c>
      <x:c r="X305" s="10" t="n">
        <x:v>0</x:v>
      </x:c>
      <x:c r="Y305" s="8" t="n">
        <x:v>46280.53696759259</x:v>
      </x:c>
      <x:c r="Z305" s="3" t="str">
        <x:v>2026-09-15</x:v>
      </x:c>
      <x:c r="AA305" s="3" t="str">
        <x:v>ACTIVE / MIXED</x:v>
      </x:c>
      <x:c r="AB305" s="8" t="n">
        <x:v>46280.660162037035</x:v>
      </x:c>
      <x:c r="AC305" s="10" t="n">
        <x:v>156</x:v>
      </x:c>
      <x:c r="AD305" s="3"/>
      <x:c r="AE305" s="3"/>
      <x:c r="AF305" s="9"/>
      <x:c r="AG305" s="3"/>
      <x:c r="AH305" s="9"/>
      <x:c r="AI305" s="9"/>
      <x:c r="AJ305" s="3"/>
      <x:c r="AK305" s="9"/>
      <x:c r="AL305" s="3"/>
      <x:c r="AM305" s="3"/>
    </x:row>
    <x:row r="306" ht="21" customHeight="1">
      <x:c r="A306" s="8" t="n">
        <x:v>46280.66274305555</x:v>
      </x:c>
      <x:c r="B306" s="3" t="str">
        <x:v>DOGEUSDT</x:v>
      </x:c>
      <x:c r="C306" s="3" t="str">
        <x:v>SELL</x:v>
      </x:c>
      <x:c r="D306" s="3" t="str">
        <x:v>14932753439</x:v>
      </x:c>
      <x:c r="E306" s="9" t="n">
        <x:v>362</x:v>
      </x:c>
      <x:c r="F306" s="9" t="n">
        <x:v>0.08299</x:v>
      </x:c>
      <x:c r="G306" s="9" t="n">
        <x:v>30.04238</x:v>
      </x:c>
      <x:c r="H306" s="9" t="n">
        <x:v>0.11584</x:v>
      </x:c>
      <x:c r="I306" s="3"/>
      <x:c r="J306" s="3" t="str">
        <x:v>gross only; actual fees not recorded</x:v>
      </x:c>
      <x:c r="K306" s="3" t="str">
        <x:v>take profit</x:v>
      </x:c>
      <x:c r="L306" s="3" t="str">
        <x:v>production</x:v>
      </x:c>
      <x:c r="M306" s="10" t="n">
        <x:v>924</x:v>
      </x:c>
      <x:c r="N306" s="3" t="str">
        <x:v>USDT</x:v>
      </x:c>
      <x:c r="O306" s="9"/>
      <x:c r="P306" s="3"/>
      <x:c r="Q306" s="3"/>
      <x:c r="R306" s="3"/>
      <x:c r="S306" s="3"/>
      <x:c r="T306" s="3"/>
      <x:c r="U306" s="3"/>
      <x:c r="V306" s="10" t="n">
        <x:v>1789476861</x:v>
      </x:c>
      <x:c r="W306" s="3" t="str">
        <x:v>{"side": "SELL", "symbol": "DOGEUSDT", "order_id": 14932753439, "quantity": "362.00000000", "price": "0.08299", "quote_amount": "30.04238000", "quote_asset": "USDT", "reason": "take profit", "estimated_pnl_usdt": "0.1158400000000", "environment": "production", "recorded_at": 1789476861}</x:v>
      </x:c>
      <x:c r="X306" s="10" t="n">
        <x:v>0</x:v>
      </x:c>
      <x:c r="Y306" s="8" t="n">
        <x:v>46280.53774305555</x:v>
      </x:c>
      <x:c r="Z306" s="3" t="str">
        <x:v>2026-09-15</x:v>
      </x:c>
      <x:c r="AA306" s="3" t="str">
        <x:v>ACTIVE / MIXED</x:v>
      </x:c>
      <x:c r="AB306" s="8" t="n">
        <x:v>46280.660162037035</x:v>
      </x:c>
      <x:c r="AC306" s="10" t="n">
        <x:v>223</x:v>
      </x:c>
      <x:c r="AD306" s="3"/>
      <x:c r="AE306" s="3"/>
      <x:c r="AF306" s="9"/>
      <x:c r="AG306" s="3"/>
      <x:c r="AH306" s="9"/>
      <x:c r="AI306" s="9"/>
      <x:c r="AJ306" s="3"/>
      <x:c r="AK306" s="9"/>
      <x:c r="AL306" s="3"/>
      <x:c r="AM306" s="3"/>
    </x:row>
    <x:row r="307" ht="21" customHeight="1">
      <x:c r="A307" s="8" t="n">
        <x:v>46280.67391203704</x:v>
      </x:c>
      <x:c r="B307" s="3" t="str">
        <x:v>CRCLBUSDT</x:v>
      </x:c>
      <x:c r="C307" s="3" t="str">
        <x:v>BUY</x:v>
      </x:c>
      <x:c r="D307" s="3" t="str">
        <x:v>89892449</x:v>
      </x:c>
      <x:c r="E307" s="9" t="n">
        <x:v>0.32</x:v>
      </x:c>
      <x:c r="F307" s="9" t="n">
        <x:v>92.48</x:v>
      </x:c>
      <x:c r="G307" s="9" t="n">
        <x:v>29.5936</x:v>
      </x:c>
      <x:c r="H307" s="9"/>
      <x:c r="I307" s="3"/>
      <x:c r="J307" s="3" t="str">
        <x:v>gross only; actual fees not recorded</x:v>
      </x:c>
      <x:c r="K307" s="3" t="str">
        <x:v>strategy buy signal</x:v>
      </x:c>
      <x:c r="L307" s="3" t="str">
        <x:v>production</x:v>
      </x:c>
      <x:c r="M307" s="10" t="n">
        <x:v>925</x:v>
      </x:c>
      <x:c r="N307" s="3" t="str">
        <x:v>USDT</x:v>
      </x:c>
      <x:c r="O307" s="9" t="n">
        <x:v>1789477799999</x:v>
      </x:c>
      <x:c r="P307" s="4" t="b">
        <x:v>0</x:v>
      </x:c>
      <x:c r="Q307" s="4" t="b">
        <x:v>1</x:v>
      </x:c>
      <x:c r="R307" s="4" t="b">
        <x:v>1</x:v>
      </x:c>
      <x:c r="S307" s="4" t="b">
        <x:v>1</x:v>
      </x:c>
      <x:c r="T307" s="4" t="b">
        <x:v>1</x:v>
      </x:c>
      <x:c r="U307" s="4" t="b">
        <x:v>1</x:v>
      </x:c>
      <x:c r="V307" s="10" t="n">
        <x:v>1789477826</x:v>
      </x:c>
      <x:c r="W307" s="3" t="str">
        <x:v>{"side": "BUY", "symbol": "CRCLBUSDT", "order_id": 89892449, "quantity": "0.32000000", "price": "92.48", "quote_amount": "29.59360000", "quote_asset": "USDT", "signal_candle_close_time": 1789477799999, "reason": "strategy buy signal", "entry_conditions": {"rsi_recovered": false, "near_support": true, "trend_ok": true, "reward_ok": true, "stop_risk_ok": true, "momentum_ok": true}, "environment": "production", "recorded_at": 1789477826}</x:v>
      </x:c>
      <x:c r="X307" s="10" t="n">
        <x:v>0</x:v>
      </x:c>
      <x:c r="Y307" s="8" t="n">
        <x:v>46280.54891203704</x:v>
      </x:c>
      <x:c r="Z307" s="3" t="str">
        <x:v>2026-09-15</x:v>
      </x:c>
      <x:c r="AA307" s="3" t="str">
        <x:v>ACTIVE / MIXED</x:v>
      </x:c>
      <x:c r="AB307" s="8" t="n">
        <x:v>46280.67060185185</x:v>
      </x:c>
      <x:c r="AC307" s="10" t="n">
        <x:v>286</x:v>
      </x:c>
      <x:c r="AD307" s="3" t="str">
        <x:v>rsi_recovered</x:v>
      </x:c>
      <x:c r="AE307" s="3"/>
      <x:c r="AF307" s="9"/>
      <x:c r="AG307" s="3"/>
      <x:c r="AH307" s="9"/>
      <x:c r="AI307" s="9"/>
      <x:c r="AJ307" s="3"/>
      <x:c r="AK307" s="9"/>
      <x:c r="AL307" s="3"/>
      <x:c r="AM307" s="3"/>
    </x:row>
    <x:row r="308" ht="21" customHeight="1">
      <x:c r="A308" s="8" t="n">
        <x:v>46280.67393518519</x:v>
      </x:c>
      <x:c r="B308" s="3" t="str">
        <x:v>ETHUSDT</x:v>
      </x:c>
      <x:c r="C308" s="3" t="str">
        <x:v>BUY</x:v>
      </x:c>
      <x:c r="D308" s="3" t="str">
        <x:v>49828655645</x:v>
      </x:c>
      <x:c r="E308" s="9" t="n">
        <x:v>0.012</x:v>
      </x:c>
      <x:c r="F308" s="9" t="n">
        <x:v>2480.28</x:v>
      </x:c>
      <x:c r="G308" s="9" t="n">
        <x:v>29.76336</x:v>
      </x:c>
      <x:c r="H308" s="9"/>
      <x:c r="I308" s="3"/>
      <x:c r="J308" s="3" t="str">
        <x:v>gross only; actual fees not recorded</x:v>
      </x:c>
      <x:c r="K308" s="3" t="str">
        <x:v>strategy buy signal</x:v>
      </x:c>
      <x:c r="L308" s="3" t="str">
        <x:v>production</x:v>
      </x:c>
      <x:c r="M308" s="10" t="n">
        <x:v>926</x:v>
      </x:c>
      <x:c r="N308" s="3" t="str">
        <x:v>USDT</x:v>
      </x:c>
      <x:c r="O308" s="9" t="n">
        <x:v>1789477799999</x:v>
      </x:c>
      <x:c r="P308" s="4" t="b">
        <x:v>0</x:v>
      </x:c>
      <x:c r="Q308" s="4" t="b">
        <x:v>1</x:v>
      </x:c>
      <x:c r="R308" s="4" t="b">
        <x:v>1</x:v>
      </x:c>
      <x:c r="S308" s="4" t="b">
        <x:v>1</x:v>
      </x:c>
      <x:c r="T308" s="4" t="b">
        <x:v>1</x:v>
      </x:c>
      <x:c r="U308" s="4" t="b">
        <x:v>1</x:v>
      </x:c>
      <x:c r="V308" s="10" t="n">
        <x:v>1789477828</x:v>
      </x:c>
      <x:c r="W308" s="3" t="str">
        <x:v>{"side": "BUY", "symbol": "ETHUSDT", "order_id": 49828655645, "quantity": "0.01200000", "price": "2480.28", "quote_amount": "29.76336000", "quote_asset": "USDT", "signal_candle_close_time": 1789477799999, "reason": "strategy buy signal", "entry_conditions": {"rsi_recovered": false, "near_support": true, "trend_ok": true, "reward_ok": true, "stop_risk_ok": true, "momentum_ok": true}, "environment": "production", "recorded_at": 1789477828}</x:v>
      </x:c>
      <x:c r="X308" s="10" t="n">
        <x:v>0</x:v>
      </x:c>
      <x:c r="Y308" s="8" t="n">
        <x:v>46280.54893518519</x:v>
      </x:c>
      <x:c r="Z308" s="3" t="str">
        <x:v>2026-09-15</x:v>
      </x:c>
      <x:c r="AA308" s="3" t="str">
        <x:v>ACTIVE / MIXED</x:v>
      </x:c>
      <x:c r="AB308" s="8" t="n">
        <x:v>46280.67060185185</x:v>
      </x:c>
      <x:c r="AC308" s="10" t="n">
        <x:v>288</x:v>
      </x:c>
      <x:c r="AD308" s="3" t="str">
        <x:v>rsi_recovered</x:v>
      </x:c>
      <x:c r="AE308" s="3"/>
      <x:c r="AF308" s="9"/>
      <x:c r="AG308" s="3"/>
      <x:c r="AH308" s="9"/>
      <x:c r="AI308" s="9"/>
      <x:c r="AJ308" s="3"/>
      <x:c r="AK308" s="9"/>
      <x:c r="AL308" s="3"/>
      <x:c r="AM308" s="3"/>
    </x:row>
    <x:row r="309" ht="21" customHeight="1">
      <x:c r="A309" s="8" t="n">
        <x:v>46280.677256944444</x:v>
      </x:c>
      <x:c r="B309" s="3" t="str">
        <x:v>SNDKBUSDT</x:v>
      </x:c>
      <x:c r="C309" s="3" t="str">
        <x:v>SELL</x:v>
      </x:c>
      <x:c r="D309" s="3" t="str">
        <x:v>348131051</x:v>
      </x:c>
      <x:c r="E309" s="9" t="n">
        <x:v>0.019</x:v>
      </x:c>
      <x:c r="F309" s="9" t="n">
        <x:v>1568.0535263157894</x:v>
      </x:c>
      <x:c r="G309" s="9" t="n">
        <x:v>29.793017</x:v>
      </x:c>
      <x:c r="H309" s="9" t="n">
        <x:v>-0.115453</x:v>
      </x:c>
      <x:c r="I309" s="3"/>
      <x:c r="J309" s="3" t="str">
        <x:v>gross only; actual fees not recorded</x:v>
      </x:c>
      <x:c r="K309" s="3" t="str">
        <x:v>stop loss</x:v>
      </x:c>
      <x:c r="L309" s="3" t="str">
        <x:v>production</x:v>
      </x:c>
      <x:c r="M309" s="10" t="n">
        <x:v>927</x:v>
      </x:c>
      <x:c r="N309" s="3" t="str">
        <x:v>USDT</x:v>
      </x:c>
      <x:c r="O309" s="9"/>
      <x:c r="P309" s="3"/>
      <x:c r="Q309" s="3"/>
      <x:c r="R309" s="3"/>
      <x:c r="S309" s="3"/>
      <x:c r="T309" s="3"/>
      <x:c r="U309" s="3"/>
      <x:c r="V309" s="10" t="n">
        <x:v>1789478115</x:v>
      </x:c>
      <x:c r="W309" s="3" t="str">
        <x:v>{"side": "SELL", "symbol": "SNDKBUSDT", "order_id": 348131051, "quantity": "0.01900000", "price": "1568.053526315789473684210526", "quote_amount": "29.79301700", "quote_asset": "USDT", "reason": "stop loss", "estimated_pnl_usdt": "-0.1154530000000000000000000060", "environment": "production", "recorded_at": 1789478115}</x:v>
      </x:c>
      <x:c r="X309" s="10" t="n">
        <x:v>0</x:v>
      </x:c>
      <x:c r="Y309" s="8" t="n">
        <x:v>46280.552256944444</x:v>
      </x:c>
      <x:c r="Z309" s="3" t="str">
        <x:v>2026-09-15</x:v>
      </x:c>
      <x:c r="AA309" s="3" t="str">
        <x:v>ACTIVE / MIXED</x:v>
      </x:c>
      <x:c r="AB309" s="8" t="n">
        <x:v>46280.67060185185</x:v>
      </x:c>
      <x:c r="AC309" s="10" t="n">
        <x:v>575</x:v>
      </x:c>
      <x:c r="AD309" s="3"/>
      <x:c r="AE309" s="3"/>
      <x:c r="AF309" s="9"/>
      <x:c r="AG309" s="3"/>
      <x:c r="AH309" s="9"/>
      <x:c r="AI309" s="9"/>
      <x:c r="AJ309" s="3"/>
      <x:c r="AK309" s="9"/>
      <x:c r="AL309" s="3"/>
      <x:c r="AM309" s="3"/>
    </x:row>
    <x:row r="310" ht="21" customHeight="1">
      <x:c r="A310" s="8" t="n">
        <x:v>46280.68435185185</x:v>
      </x:c>
      <x:c r="B310" s="3" t="str">
        <x:v>SOLUSDT</x:v>
      </x:c>
      <x:c r="C310" s="3" t="str">
        <x:v>BUY</x:v>
      </x:c>
      <x:c r="D310" s="3" t="str">
        <x:v>17803960164</x:v>
      </x:c>
      <x:c r="E310" s="9" t="n">
        <x:v>0.297</x:v>
      </x:c>
      <x:c r="F310" s="9" t="n">
        <x:v>100.98</x:v>
      </x:c>
      <x:c r="G310" s="9" t="n">
        <x:v>29.99106</x:v>
      </x:c>
      <x:c r="H310" s="9"/>
      <x:c r="I310" s="3"/>
      <x:c r="J310" s="3" t="str">
        <x:v>gross only; actual fees not recorded</x:v>
      </x:c>
      <x:c r="K310" s="3" t="str">
        <x:v>strategy buy signal</x:v>
      </x:c>
      <x:c r="L310" s="3" t="str">
        <x:v>production</x:v>
      </x:c>
      <x:c r="M310" s="10" t="n">
        <x:v>928</x:v>
      </x:c>
      <x:c r="N310" s="3" t="str">
        <x:v>USDT</x:v>
      </x:c>
      <x:c r="O310" s="9" t="n">
        <x:v>1789478699999</x:v>
      </x:c>
      <x:c r="P310" s="4" t="b">
        <x:v>0</x:v>
      </x:c>
      <x:c r="Q310" s="4" t="b">
        <x:v>1</x:v>
      </x:c>
      <x:c r="R310" s="4" t="b">
        <x:v>1</x:v>
      </x:c>
      <x:c r="S310" s="4" t="b">
        <x:v>1</x:v>
      </x:c>
      <x:c r="T310" s="4" t="b">
        <x:v>1</x:v>
      </x:c>
      <x:c r="U310" s="4" t="b">
        <x:v>1</x:v>
      </x:c>
      <x:c r="V310" s="10" t="n">
        <x:v>1789478728</x:v>
      </x:c>
      <x:c r="W310" s="3" t="str">
        <x:v>{"side": "BUY", "symbol": "SOLUSDT", "order_id": 17803960164, "quantity": "0.29700000", "price": "100.98", "quote_amount": "29.99106000", "quote_asset": "USDT", "signal_candle_close_time": 1789478699999, "reason": "strategy buy signal", "entry_conditions": {"rsi_recovered": false, "near_support": true, "trend_ok": true, "reward_ok": true, "stop_risk_ok": true, "momentum_ok": true}, "environment": "production", "recorded_at": 1789478728}</x:v>
      </x:c>
      <x:c r="X310" s="10" t="n">
        <x:v>0</x:v>
      </x:c>
      <x:c r="Y310" s="8" t="n">
        <x:v>46280.55935185185</x:v>
      </x:c>
      <x:c r="Z310" s="3" t="str">
        <x:v>2026-09-15</x:v>
      </x:c>
      <x:c r="AA310" s="3" t="str">
        <x:v>ACTIVE / MIXED</x:v>
      </x:c>
      <x:c r="AB310" s="8" t="n">
        <x:v>46280.6812037037</x:v>
      </x:c>
      <x:c r="AC310" s="10" t="n">
        <x:v>272</x:v>
      </x:c>
      <x:c r="AD310" s="3" t="str">
        <x:v>rsi_recovered</x:v>
      </x:c>
      <x:c r="AE310" s="3"/>
      <x:c r="AF310" s="9"/>
      <x:c r="AG310" s="3"/>
      <x:c r="AH310" s="9"/>
      <x:c r="AI310" s="9"/>
      <x:c r="AJ310" s="3"/>
      <x:c r="AK310" s="9"/>
      <x:c r="AL310" s="3"/>
      <x:c r="AM310" s="3"/>
    </x:row>
    <x:row r="311" ht="21" customHeight="1">
      <x:c r="A311" s="8" t="n">
        <x:v>46280.68792824074</x:v>
      </x:c>
      <x:c r="B311" s="3" t="str">
        <x:v>BNCBUSDT</x:v>
      </x:c>
      <x:c r="C311" s="3" t="str">
        <x:v>BUY</x:v>
      </x:c>
      <x:c r="D311" s="3" t="str">
        <x:v>426105</x:v>
      </x:c>
      <x:c r="E311" s="9" t="n">
        <x:v>5.8</x:v>
      </x:c>
      <x:c r="F311" s="9" t="n">
        <x:v>5.13</x:v>
      </x:c>
      <x:c r="G311" s="9" t="n">
        <x:v>29.754</x:v>
      </x:c>
      <x:c r="H311" s="9"/>
      <x:c r="I311" s="3"/>
      <x:c r="J311" s="3" t="str">
        <x:v>gross only; actual fees not recorded</x:v>
      </x:c>
      <x:c r="K311" s="3" t="str">
        <x:v>strategy buy signal</x:v>
      </x:c>
      <x:c r="L311" s="3" t="str">
        <x:v>production</x:v>
      </x:c>
      <x:c r="M311" s="10" t="n">
        <x:v>929</x:v>
      </x:c>
      <x:c r="N311" s="3" t="str">
        <x:v>USDT</x:v>
      </x:c>
      <x:c r="O311" s="9" t="n">
        <x:v>1789478999999</x:v>
      </x:c>
      <x:c r="P311" s="4" t="b">
        <x:v>0</x:v>
      </x:c>
      <x:c r="Q311" s="4" t="b">
        <x:v>1</x:v>
      </x:c>
      <x:c r="R311" s="4" t="b">
        <x:v>1</x:v>
      </x:c>
      <x:c r="S311" s="4" t="b">
        <x:v>1</x:v>
      </x:c>
      <x:c r="T311" s="4" t="b">
        <x:v>1</x:v>
      </x:c>
      <x:c r="U311" s="4" t="b">
        <x:v>1</x:v>
      </x:c>
      <x:c r="V311" s="10" t="n">
        <x:v>1789479037</x:v>
      </x:c>
      <x:c r="W311" s="3" t="str">
        <x:v>{"side": "BUY", "symbol": "BNCBUSDT", "order_id": 426105, "quantity": "5.80000000", "price": "5.13", "quote_amount": "29.75400000", "quote_asset": "USDT", "signal_candle_close_time": 1789478999999, "reason": "strategy buy signal", "entry_conditions": {"rsi_recovered": false, "near_support": true, "trend_ok": true, "reward_ok": true, "stop_risk_ok": true, "momentum_ok": true}, "environment": "production", "recorded_at": 1789479037}</x:v>
      </x:c>
      <x:c r="X311" s="10" t="n">
        <x:v>0</x:v>
      </x:c>
      <x:c r="Y311" s="8" t="n">
        <x:v>46280.56292824074</x:v>
      </x:c>
      <x:c r="Z311" s="3" t="str">
        <x:v>2026-09-15</x:v>
      </x:c>
      <x:c r="AA311" s="3" t="str">
        <x:v>ACTIVE / MIXED</x:v>
      </x:c>
      <x:c r="AB311" s="8" t="n">
        <x:v>46280.6812037037</x:v>
      </x:c>
      <x:c r="AC311" s="10" t="n">
        <x:v>581</x:v>
      </x:c>
      <x:c r="AD311" s="3" t="str">
        <x:v>rsi_recovered</x:v>
      </x:c>
      <x:c r="AE311" s="3"/>
      <x:c r="AF311" s="9"/>
      <x:c r="AG311" s="3"/>
      <x:c r="AH311" s="9"/>
      <x:c r="AI311" s="9"/>
      <x:c r="AJ311" s="3"/>
      <x:c r="AK311" s="9"/>
      <x:c r="AL311" s="3"/>
      <x:c r="AM311" s="3"/>
    </x:row>
    <x:row r="312" ht="21" customHeight="1">
      <x:c r="A312" s="8" t="n">
        <x:v>46280.68865740741</x:v>
      </x:c>
      <x:c r="B312" s="3" t="str">
        <x:v>CRCLBUSDT</x:v>
      </x:c>
      <x:c r="C312" s="3" t="str">
        <x:v>SELL</x:v>
      </x:c>
      <x:c r="D312" s="3" t="str">
        <x:v>89951454</x:v>
      </x:c>
      <x:c r="E312" s="9" t="n">
        <x:v>0.32</x:v>
      </x:c>
      <x:c r="F312" s="9" t="n">
        <x:v>93.15</x:v>
      </x:c>
      <x:c r="G312" s="9" t="n">
        <x:v>29.808</x:v>
      </x:c>
      <x:c r="H312" s="9" t="n">
        <x:v>0.2144</x:v>
      </x:c>
      <x:c r="I312" s="3"/>
      <x:c r="J312" s="3" t="str">
        <x:v>gross only; actual fees not recorded</x:v>
      </x:c>
      <x:c r="K312" s="3" t="str">
        <x:v>take profit</x:v>
      </x:c>
      <x:c r="L312" s="3" t="str">
        <x:v>production</x:v>
      </x:c>
      <x:c r="M312" s="10" t="n">
        <x:v>930</x:v>
      </x:c>
      <x:c r="N312" s="3" t="str">
        <x:v>USDT</x:v>
      </x:c>
      <x:c r="O312" s="9"/>
      <x:c r="P312" s="3"/>
      <x:c r="Q312" s="3"/>
      <x:c r="R312" s="3"/>
      <x:c r="S312" s="3"/>
      <x:c r="T312" s="3"/>
      <x:c r="U312" s="3"/>
      <x:c r="V312" s="10" t="n">
        <x:v>1789479100</x:v>
      </x:c>
      <x:c r="W312" s="3" t="str">
        <x:v>{"side": "SELL", "symbol": "CRCLBUSDT", "order_id": 89951454, "quantity": "0.32000000", "price": "93.15", "quote_amount": "29.80800000", "quote_asset": "USDT", "reason": "take profit", "estimated_pnl_usdt": "0.2144000000", "environment": "production", "recorded_at": 1789479100}</x:v>
      </x:c>
      <x:c r="X312" s="10" t="n">
        <x:v>0</x:v>
      </x:c>
      <x:c r="Y312" s="8" t="n">
        <x:v>46280.56365740741</x:v>
      </x:c>
      <x:c r="Z312" s="3" t="str">
        <x:v>2026-09-15</x:v>
      </x:c>
      <x:c r="AA312" s="3" t="str">
        <x:v>ACTIVE / MIXED</x:v>
      </x:c>
      <x:c r="AB312" s="8" t="n">
        <x:v>46280.6812037037</x:v>
      </x:c>
      <x:c r="AC312" s="10" t="n">
        <x:v>644</x:v>
      </x:c>
      <x:c r="AD312" s="3"/>
      <x:c r="AE312" s="3"/>
      <x:c r="AF312" s="9"/>
      <x:c r="AG312" s="3"/>
      <x:c r="AH312" s="9"/>
      <x:c r="AI312" s="9"/>
      <x:c r="AJ312" s="3"/>
      <x:c r="AK312" s="9"/>
      <x:c r="AL312" s="3"/>
      <x:c r="AM312" s="3"/>
    </x:row>
    <x:row r="313" ht="21" customHeight="1">
      <x:c r="A313" s="8" t="n">
        <x:v>46280.69116898148</x:v>
      </x:c>
      <x:c r="B313" s="3" t="str">
        <x:v>ETHUSDT</x:v>
      </x:c>
      <x:c r="C313" s="3" t="str">
        <x:v>SELL</x:v>
      </x:c>
      <x:c r="D313" s="3" t="str">
        <x:v>49829175445</x:v>
      </x:c>
      <x:c r="E313" s="9" t="n">
        <x:v>0.012</x:v>
      </x:c>
      <x:c r="F313" s="9" t="n">
        <x:v>2470.33</x:v>
      </x:c>
      <x:c r="G313" s="9" t="n">
        <x:v>29.64396</x:v>
      </x:c>
      <x:c r="H313" s="9" t="n">
        <x:v>-0.1194</x:v>
      </x:c>
      <x:c r="I313" s="3"/>
      <x:c r="J313" s="3" t="str">
        <x:v>gross only; actual fees not recorded</x:v>
      </x:c>
      <x:c r="K313" s="3" t="str">
        <x:v>stop loss</x:v>
      </x:c>
      <x:c r="L313" s="3" t="str">
        <x:v>production</x:v>
      </x:c>
      <x:c r="M313" s="10" t="n">
        <x:v>931</x:v>
      </x:c>
      <x:c r="N313" s="3" t="str">
        <x:v>USDT</x:v>
      </x:c>
      <x:c r="O313" s="9"/>
      <x:c r="P313" s="3"/>
      <x:c r="Q313" s="3"/>
      <x:c r="R313" s="3"/>
      <x:c r="S313" s="3"/>
      <x:c r="T313" s="3"/>
      <x:c r="U313" s="3"/>
      <x:c r="V313" s="10" t="n">
        <x:v>1789479317</x:v>
      </x:c>
      <x:c r="W313" s="3" t="str">
        <x:v>{"side": "SELL", "symbol": "ETHUSDT", "order_id": 49829175445, "quantity": "0.01200000", "price": "2470.33", "quote_amount": "29.64396000", "quote_asset": "USDT", "reason": "stop loss", "estimated_pnl_usdt": "-0.1194000000", "environment": "production", "recorded_at": 1789479317}</x:v>
      </x:c>
      <x:c r="X313" s="10" t="n">
        <x:v>0</x:v>
      </x:c>
      <x:c r="Y313" s="8" t="n">
        <x:v>46280.56616898148</x:v>
      </x:c>
      <x:c r="Z313" s="3" t="str">
        <x:v>2026-09-15</x:v>
      </x:c>
      <x:c r="AA313" s="3" t="str">
        <x:v>ACTIVE / MIXED</x:v>
      </x:c>
      <x:c r="AB313" s="8" t="n">
        <x:v>46280.6812037037</x:v>
      </x:c>
      <x:c r="AC313" s="10" t="n">
        <x:v>861</x:v>
      </x:c>
      <x:c r="AD313" s="3"/>
      <x:c r="AE313" s="3"/>
      <x:c r="AF313" s="9"/>
      <x:c r="AG313" s="3"/>
      <x:c r="AH313" s="9"/>
      <x:c r="AI313" s="9"/>
      <x:c r="AJ313" s="3"/>
      <x:c r="AK313" s="9"/>
      <x:c r="AL313" s="3"/>
      <x:c r="AM313" s="3"/>
    </x:row>
    <x:row r="314" ht="21" customHeight="1">
      <x:c r="A314" s="8" t="n">
        <x:v>46280.69122685185</x:v>
      </x:c>
      <x:c r="B314" s="3" t="str">
        <x:v>DOGEUSDT</x:v>
      </x:c>
      <x:c r="C314" s="3" t="str">
        <x:v>BUY</x:v>
      </x:c>
      <x:c r="D314" s="3" t="str">
        <x:v>14932895569</x:v>
      </x:c>
      <x:c r="E314" s="9" t="n">
        <x:v>362</x:v>
      </x:c>
      <x:c r="F314" s="9" t="n">
        <x:v>0.08279</x:v>
      </x:c>
      <x:c r="G314" s="9" t="n">
        <x:v>29.96998</x:v>
      </x:c>
      <x:c r="H314" s="9"/>
      <x:c r="I314" s="3"/>
      <x:c r="J314" s="3" t="str">
        <x:v>gross only; actual fees not recorded</x:v>
      </x:c>
      <x:c r="K314" s="3" t="str">
        <x:v>strategy buy signal</x:v>
      </x:c>
      <x:c r="L314" s="3" t="str">
        <x:v>production</x:v>
      </x:c>
      <x:c r="M314" s="10" t="n">
        <x:v>932</x:v>
      </x:c>
      <x:c r="N314" s="3" t="str">
        <x:v>USDT</x:v>
      </x:c>
      <x:c r="O314" s="9" t="n">
        <x:v>1789479299999</x:v>
      </x:c>
      <x:c r="P314" s="4" t="b">
        <x:v>0</x:v>
      </x:c>
      <x:c r="Q314" s="4" t="b">
        <x:v>1</x:v>
      </x:c>
      <x:c r="R314" s="4" t="b">
        <x:v>1</x:v>
      </x:c>
      <x:c r="S314" s="4" t="b">
        <x:v>1</x:v>
      </x:c>
      <x:c r="T314" s="4" t="b">
        <x:v>1</x:v>
      </x:c>
      <x:c r="U314" s="4" t="b">
        <x:v>1</x:v>
      </x:c>
      <x:c r="V314" s="10" t="n">
        <x:v>1789479322</x:v>
      </x:c>
      <x:c r="W314" s="3" t="str">
        <x:v>{"side": "BUY", "symbol": "DOGEUSDT", "order_id": 14932895569, "quantity": "362.00000000", "price": "0.08279", "quote_amount": "29.96998000", "quote_asset": "USDT", "signal_candle_close_time": 1789479299999, "reason": "strategy buy signal", "entry_conditions": {"rsi_recovered": false, "near_support": true, "trend_ok": true, "reward_ok": true, "stop_risk_ok": true, "momentum_ok": true}, "environment": "production", "recorded_at": 1789479322}</x:v>
      </x:c>
      <x:c r="X314" s="10" t="n">
        <x:v>0</x:v>
      </x:c>
      <x:c r="Y314" s="8" t="n">
        <x:v>46280.56622685185</x:v>
      </x:c>
      <x:c r="Z314" s="3" t="str">
        <x:v>2026-09-15</x:v>
      </x:c>
      <x:c r="AA314" s="3" t="str">
        <x:v>ACTIVE / MIXED</x:v>
      </x:c>
      <x:c r="AB314" s="8" t="n">
        <x:v>46280.6812037037</x:v>
      </x:c>
      <x:c r="AC314" s="10" t="n">
        <x:v>866</x:v>
      </x:c>
      <x:c r="AD314" s="3" t="str">
        <x:v>rsi_recovered</x:v>
      </x:c>
      <x:c r="AE314" s="3"/>
      <x:c r="AF314" s="9"/>
      <x:c r="AG314" s="3"/>
      <x:c r="AH314" s="9"/>
      <x:c r="AI314" s="9"/>
      <x:c r="AJ314" s="3"/>
      <x:c r="AK314" s="9"/>
      <x:c r="AL314" s="3"/>
      <x:c r="AM314" s="3"/>
    </x:row>
    <x:row r="315" ht="21" customHeight="1">
      <x:c r="A315" s="8" t="n">
        <x:v>46280.69446759259</x:v>
      </x:c>
      <x:c r="B315" s="3" t="str">
        <x:v>WLDUSDT</x:v>
      </x:c>
      <x:c r="C315" s="3" t="str">
        <x:v>BUY</x:v>
      </x:c>
      <x:c r="D315" s="3" t="str">
        <x:v>4154868621</x:v>
      </x:c>
      <x:c r="E315" s="9" t="n">
        <x:v>80.2</x:v>
      </x:c>
      <x:c r="F315" s="9" t="n">
        <x:v>0.3738</x:v>
      </x:c>
      <x:c r="G315" s="9" t="n">
        <x:v>29.97876</x:v>
      </x:c>
      <x:c r="H315" s="9"/>
      <x:c r="I315" s="3"/>
      <x:c r="J315" s="3" t="str">
        <x:v>gross only; actual fees not recorded</x:v>
      </x:c>
      <x:c r="K315" s="3" t="str">
        <x:v>strategy buy signal</x:v>
      </x:c>
      <x:c r="L315" s="3" t="str">
        <x:v>production</x:v>
      </x:c>
      <x:c r="M315" s="10" t="n">
        <x:v>933</x:v>
      </x:c>
      <x:c r="N315" s="3" t="str">
        <x:v>USDT</x:v>
      </x:c>
      <x:c r="O315" s="9" t="n">
        <x:v>1789479599999</x:v>
      </x:c>
      <x:c r="P315" s="4" t="b">
        <x:v>0</x:v>
      </x:c>
      <x:c r="Q315" s="4" t="b">
        <x:v>1</x:v>
      </x:c>
      <x:c r="R315" s="4" t="b">
        <x:v>1</x:v>
      </x:c>
      <x:c r="S315" s="4" t="b">
        <x:v>1</x:v>
      </x:c>
      <x:c r="T315" s="4" t="b">
        <x:v>1</x:v>
      </x:c>
      <x:c r="U315" s="4" t="b">
        <x:v>1</x:v>
      </x:c>
      <x:c r="V315" s="10" t="n">
        <x:v>1789479602</x:v>
      </x:c>
      <x:c r="W315" s="3" t="str">
        <x:v>{"side": "BUY", "symbol": "WLDUSDT", "order_id": 4154868621, "quantity": "80.20000000", "price": "0.3738", "quote_amount": "29.97876000",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1789479602}</x:v>
      </x:c>
      <x:c r="X315" s="10" t="n">
        <x:v>0</x:v>
      </x:c>
      <x:c r="Y315" s="8" t="n">
        <x:v>46280.56946759259</x:v>
      </x:c>
      <x:c r="Z315" s="3" t="str">
        <x:v>2026-09-15</x:v>
      </x:c>
      <x:c r="AA315" s="3" t="str">
        <x:v>ACTIVE / MIXED</x:v>
      </x:c>
      <x:c r="AB315" s="8" t="n">
        <x:v>46280.69190972222</x:v>
      </x:c>
      <x:c r="AC315" s="10" t="n">
        <x:v>221</x:v>
      </x:c>
      <x:c r="AD315" s="3" t="str">
        <x:v>rsi_recovered</x:v>
      </x:c>
      <x:c r="AE315" s="3"/>
      <x:c r="AF315" s="9"/>
      <x:c r="AG315" s="3"/>
      <x:c r="AH315" s="9"/>
      <x:c r="AI315" s="9"/>
      <x:c r="AJ315" s="3"/>
      <x:c r="AK315" s="9"/>
      <x:c r="AL315" s="3"/>
      <x:c r="AM315" s="3"/>
    </x:row>
    <x:row r="316" ht="21" customHeight="1">
      <x:c r="A316" s="8" t="n">
        <x:v>46280.69447916667</x:v>
      </x:c>
      <x:c r="B316" s="3" t="str">
        <x:v>ADAUSDT</x:v>
      </x:c>
      <x:c r="C316" s="3" t="str">
        <x:v>BUY</x:v>
      </x:c>
      <x:c r="D316" s="3" t="str">
        <x:v>8789109538</x:v>
      </x:c>
      <x:c r="E316" s="9" t="n">
        <x:v>147.3</x:v>
      </x:c>
      <x:c r="F316" s="9" t="n">
        <x:v>0.2036</x:v>
      </x:c>
      <x:c r="G316" s="9" t="n">
        <x:v>29.99028</x:v>
      </x:c>
      <x:c r="H316" s="9"/>
      <x:c r="I316" s="3"/>
      <x:c r="J316" s="3" t="str">
        <x:v>gross only; actual fees not recorded</x:v>
      </x:c>
      <x:c r="K316" s="3" t="str">
        <x:v>strategy buy signal</x:v>
      </x:c>
      <x:c r="L316" s="3" t="str">
        <x:v>production</x:v>
      </x:c>
      <x:c r="M316" s="10" t="n">
        <x:v>934</x:v>
      </x:c>
      <x:c r="N316" s="3" t="str">
        <x:v>USDT</x:v>
      </x:c>
      <x:c r="O316" s="9" t="n">
        <x:v>1789479599999</x:v>
      </x:c>
      <x:c r="P316" s="4" t="b">
        <x:v>0</x:v>
      </x:c>
      <x:c r="Q316" s="4" t="b">
        <x:v>1</x:v>
      </x:c>
      <x:c r="R316" s="4" t="b">
        <x:v>1</x:v>
      </x:c>
      <x:c r="S316" s="4" t="b">
        <x:v>1</x:v>
      </x:c>
      <x:c r="T316" s="4" t="b">
        <x:v>1</x:v>
      </x:c>
      <x:c r="U316" s="4" t="b">
        <x:v>1</x:v>
      </x:c>
      <x:c r="V316" s="10" t="n">
        <x:v>1789479603</x:v>
      </x:c>
      <x:c r="W316" s="3" t="str">
        <x:v>{"side": "BUY", "symbol": "ADAUSDT", "order_id": 8789109538, "quantity": "147.30000000", "price": "0.2036", "quote_amount": "29.99028000",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1789479603}</x:v>
      </x:c>
      <x:c r="X316" s="10" t="n">
        <x:v>0</x:v>
      </x:c>
      <x:c r="Y316" s="8" t="n">
        <x:v>46280.56947916667</x:v>
      </x:c>
      <x:c r="Z316" s="3" t="str">
        <x:v>2026-09-15</x:v>
      </x:c>
      <x:c r="AA316" s="3" t="str">
        <x:v>ACTIVE / MIXED</x:v>
      </x:c>
      <x:c r="AB316" s="8" t="n">
        <x:v>46280.69190972222</x:v>
      </x:c>
      <x:c r="AC316" s="10" t="n">
        <x:v>222</x:v>
      </x:c>
      <x:c r="AD316" s="3" t="str">
        <x:v>rsi_recovered</x:v>
      </x:c>
      <x:c r="AE316" s="3"/>
      <x:c r="AF316" s="9"/>
      <x:c r="AG316" s="3"/>
      <x:c r="AH316" s="9"/>
      <x:c r="AI316" s="9"/>
      <x:c r="AJ316" s="3"/>
      <x:c r="AK316" s="9"/>
      <x:c r="AL316" s="3"/>
      <x:c r="AM316" s="3"/>
    </x:row>
    <x:row r="317" ht="21" customHeight="1">
      <x:c r="A317" s="8" t="n">
        <x:v>46280.69449074074</x:v>
      </x:c>
      <x:c r="B317" s="3" t="str">
        <x:v>SUIUSDT</x:v>
      </x:c>
      <x:c r="C317" s="3" t="str">
        <x:v>BUY</x:v>
      </x:c>
      <x:c r="D317" s="3" t="str">
        <x:v>8855274553</x:v>
      </x:c>
      <x:c r="E317" s="9" t="n">
        <x:v>34.4</x:v>
      </x:c>
      <x:c r="F317" s="9" t="n">
        <x:v>0.705</x:v>
      </x:c>
      <x:c r="G317" s="9" t="n">
        <x:v>24.252</x:v>
      </x:c>
      <x:c r="H317" s="9"/>
      <x:c r="I317" s="3"/>
      <x:c r="J317" s="3" t="str">
        <x:v>gross only; actual fees not recorded</x:v>
      </x:c>
      <x:c r="K317" s="3" t="str">
        <x:v>strategy buy signal</x:v>
      </x:c>
      <x:c r="L317" s="3" t="str">
        <x:v>production</x:v>
      </x:c>
      <x:c r="M317" s="10" t="n">
        <x:v>935</x:v>
      </x:c>
      <x:c r="N317" s="3" t="str">
        <x:v>USDT</x:v>
      </x:c>
      <x:c r="O317" s="9" t="n">
        <x:v>1789479599999</x:v>
      </x:c>
      <x:c r="P317" s="4" t="b">
        <x:v>0</x:v>
      </x:c>
      <x:c r="Q317" s="4" t="b">
        <x:v>1</x:v>
      </x:c>
      <x:c r="R317" s="4" t="b">
        <x:v>1</x:v>
      </x:c>
      <x:c r="S317" s="4" t="b">
        <x:v>1</x:v>
      </x:c>
      <x:c r="T317" s="4" t="b">
        <x:v>1</x:v>
      </x:c>
      <x:c r="U317" s="4" t="b">
        <x:v>1</x:v>
      </x:c>
      <x:c r="V317" s="10" t="n">
        <x:v>1789479604</x:v>
      </x:c>
      <x:c r="W317" s="3" t="str">
        <x:v>{"side": "BUY", "symbol": "SUIUSDT", "order_id": 8855274553, "quantity": "34.40000000", "price": "0.705", "quote_amount": "24.25200000",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1789479604}</x:v>
      </x:c>
      <x:c r="X317" s="10" t="n">
        <x:v>0</x:v>
      </x:c>
      <x:c r="Y317" s="8" t="n">
        <x:v>46280.56949074074</x:v>
      </x:c>
      <x:c r="Z317" s="3" t="str">
        <x:v>2026-09-15</x:v>
      </x:c>
      <x:c r="AA317" s="3" t="str">
        <x:v>ACTIVE / MIXED</x:v>
      </x:c>
      <x:c r="AB317" s="8" t="n">
        <x:v>46280.69190972222</x:v>
      </x:c>
      <x:c r="AC317" s="10" t="n">
        <x:v>223</x:v>
      </x:c>
      <x:c r="AD317" s="3" t="str">
        <x:v>rsi_recovered</x:v>
      </x:c>
      <x:c r="AE317" s="3"/>
      <x:c r="AF317" s="9"/>
      <x:c r="AG317" s="3"/>
      <x:c r="AH317" s="9"/>
      <x:c r="AI317" s="9"/>
      <x:c r="AJ317" s="3"/>
      <x:c r="AK317" s="9"/>
      <x:c r="AL317" s="3"/>
      <x:c r="AM317" s="3"/>
    </x:row>
    <x:row r="318" ht="21" customHeight="1">
      <x:c r="A318" s="8" t="n">
        <x:v>46280.69452546296</x:v>
      </x:c>
      <x:c r="B318" s="3" t="str">
        <x:v>SOLUSDT</x:v>
      </x:c>
      <x:c r="C318" s="3" t="str">
        <x:v>SELL</x:v>
      </x:c>
      <x:c r="D318" s="3" t="str">
        <x:v>17804111612</x:v>
      </x:c>
      <x:c r="E318" s="9" t="n">
        <x:v>0.297</x:v>
      </x:c>
      <x:c r="F318" s="9" t="n">
        <x:v>99.98</x:v>
      </x:c>
      <x:c r="G318" s="9" t="n">
        <x:v>29.69406</x:v>
      </x:c>
      <x:c r="H318" s="9" t="n">
        <x:v>-0.297</x:v>
      </x:c>
      <x:c r="I318" s="3"/>
      <x:c r="J318" s="3" t="str">
        <x:v>gross only; actual fees not recorded</x:v>
      </x:c>
      <x:c r="K318" s="3" t="str">
        <x:v>stop loss</x:v>
      </x:c>
      <x:c r="L318" s="3" t="str">
        <x:v>production</x:v>
      </x:c>
      <x:c r="M318" s="10" t="n">
        <x:v>936</x:v>
      </x:c>
      <x:c r="N318" s="3" t="str">
        <x:v>USDT</x:v>
      </x:c>
      <x:c r="O318" s="9"/>
      <x:c r="P318" s="3"/>
      <x:c r="Q318" s="3"/>
      <x:c r="R318" s="3"/>
      <x:c r="S318" s="3"/>
      <x:c r="T318" s="3"/>
      <x:c r="U318" s="3"/>
      <x:c r="V318" s="10" t="n">
        <x:v>1789479607</x:v>
      </x:c>
      <x:c r="W318" s="3" t="str">
        <x:v>{"side": "SELL", "symbol": "SOLUSDT", "order_id": 17804111612, "quantity": "0.29700000", "price": "99.98", "quote_amount": "29.69406000", "quote_asset": "USDT", "reason": "stop loss", "estimated_pnl_usdt": "-0.2970000000", "environment": "production", "recorded_at": 1789479607}</x:v>
      </x:c>
      <x:c r="X318" s="10" t="n">
        <x:v>0</x:v>
      </x:c>
      <x:c r="Y318" s="8" t="n">
        <x:v>46280.56952546296</x:v>
      </x:c>
      <x:c r="Z318" s="3" t="str">
        <x:v>2026-09-15</x:v>
      </x:c>
      <x:c r="AA318" s="3" t="str">
        <x:v>ACTIVE / MIXED</x:v>
      </x:c>
      <x:c r="AB318" s="8" t="n">
        <x:v>46280.69190972222</x:v>
      </x:c>
      <x:c r="AC318" s="10" t="n">
        <x:v>226</x:v>
      </x:c>
      <x:c r="AD318" s="3"/>
      <x:c r="AE318" s="3"/>
      <x:c r="AF318" s="9"/>
      <x:c r="AG318" s="3"/>
      <x:c r="AH318" s="9"/>
      <x:c r="AI318" s="9"/>
      <x:c r="AJ318" s="3"/>
      <x:c r="AK318" s="9"/>
      <x:c r="AL318" s="3"/>
      <x:c r="AM318" s="3"/>
    </x:row>
    <x:row r="319" ht="21" customHeight="1">
      <x:c r="A319" s="8" t="n">
        <x:v>46280.69453703704</x:v>
      </x:c>
      <x:c r="B319" s="3" t="str">
        <x:v>DOGEUSDT</x:v>
      </x:c>
      <x:c r="C319" s="3" t="str">
        <x:v>SELL</x:v>
      </x:c>
      <x:c r="D319" s="3" t="str">
        <x:v>14932960363</x:v>
      </x:c>
      <x:c r="E319" s="9" t="n">
        <x:v>362</x:v>
      </x:c>
      <x:c r="F319" s="9" t="n">
        <x:v>0.08232</x:v>
      </x:c>
      <x:c r="G319" s="9" t="n">
        <x:v>29.79984</x:v>
      </x:c>
      <x:c r="H319" s="9" t="n">
        <x:v>-0.17014</x:v>
      </x:c>
      <x:c r="I319" s="3"/>
      <x:c r="J319" s="3" t="str">
        <x:v>gross only; actual fees not recorded</x:v>
      </x:c>
      <x:c r="K319" s="3" t="str">
        <x:v>stop loss</x:v>
      </x:c>
      <x:c r="L319" s="3" t="str">
        <x:v>production</x:v>
      </x:c>
      <x:c r="M319" s="10" t="n">
        <x:v>937</x:v>
      </x:c>
      <x:c r="N319" s="3" t="str">
        <x:v>USDT</x:v>
      </x:c>
      <x:c r="O319" s="9"/>
      <x:c r="P319" s="3"/>
      <x:c r="Q319" s="3"/>
      <x:c r="R319" s="3"/>
      <x:c r="S319" s="3"/>
      <x:c r="T319" s="3"/>
      <x:c r="U319" s="3"/>
      <x:c r="V319" s="10" t="n">
        <x:v>1789479608</x:v>
      </x:c>
      <x:c r="W319" s="3" t="str">
        <x:v>{"side": "SELL", "symbol": "DOGEUSDT", "order_id": 14932960363, "quantity": "362.00000000", "price": "0.08232", "quote_amount": "29.79984000", "quote_asset": "USDT", "reason": "stop loss", "estimated_pnl_usdt": "-0.1701400000000", "environment": "production", "recorded_at": 1789479608}</x:v>
      </x:c>
      <x:c r="X319" s="10" t="n">
        <x:v>0</x:v>
      </x:c>
      <x:c r="Y319" s="8" t="n">
        <x:v>46280.56953703704</x:v>
      </x:c>
      <x:c r="Z319" s="3" t="str">
        <x:v>2026-09-15</x:v>
      </x:c>
      <x:c r="AA319" s="3" t="str">
        <x:v>ACTIVE / MIXED</x:v>
      </x:c>
      <x:c r="AB319" s="8" t="n">
        <x:v>46280.69190972222</x:v>
      </x:c>
      <x:c r="AC319" s="10" t="n">
        <x:v>227</x:v>
      </x:c>
      <x:c r="AD319" s="3"/>
      <x:c r="AE319" s="3"/>
      <x:c r="AF319" s="9"/>
      <x:c r="AG319" s="3"/>
      <x:c r="AH319" s="9"/>
      <x:c r="AI319" s="9"/>
      <x:c r="AJ319" s="3"/>
      <x:c r="AK319" s="9"/>
      <x:c r="AL319" s="3"/>
      <x:c r="AM319" s="3"/>
    </x:row>
    <x:row r="320" ht="21" customHeight="1">
      <x:c r="A320" s="8" t="n">
        <x:v>46280.69457175926</x:v>
      </x:c>
      <x:c r="B320" s="3" t="str">
        <x:v>BNCBUSDT</x:v>
      </x:c>
      <x:c r="C320" s="3" t="str">
        <x:v>SELL</x:v>
      </x:c>
      <x:c r="D320" s="3" t="str">
        <x:v>428152</x:v>
      </x:c>
      <x:c r="E320" s="9" t="n">
        <x:v>5.8</x:v>
      </x:c>
      <x:c r="F320" s="9" t="n">
        <x:v>5.1</x:v>
      </x:c>
      <x:c r="G320" s="9" t="n">
        <x:v>29.58</x:v>
      </x:c>
      <x:c r="H320" s="9" t="n">
        <x:v>-0.174</x:v>
      </x:c>
      <x:c r="I320" s="3"/>
      <x:c r="J320" s="3" t="str">
        <x:v>gross only; actual fees not recorded</x:v>
      </x:c>
      <x:c r="K320" s="3" t="str">
        <x:v>stop loss</x:v>
      </x:c>
      <x:c r="L320" s="3" t="str">
        <x:v>production</x:v>
      </x:c>
      <x:c r="M320" s="10" t="n">
        <x:v>938</x:v>
      </x:c>
      <x:c r="N320" s="3" t="str">
        <x:v>USDT</x:v>
      </x:c>
      <x:c r="O320" s="9"/>
      <x:c r="P320" s="3"/>
      <x:c r="Q320" s="3"/>
      <x:c r="R320" s="3"/>
      <x:c r="S320" s="3"/>
      <x:c r="T320" s="3"/>
      <x:c r="U320" s="3"/>
      <x:c r="V320" s="10" t="n">
        <x:v>1789479611</x:v>
      </x:c>
      <x:c r="W320" s="3" t="str">
        <x:v>{"side": "SELL", "symbol": "BNCBUSDT", "order_id": 428152, "quantity": "5.80000000", "price": "5.1", "quote_amount": "29.58000000", "quote_asset": "USDT", "reason": "stop loss", "estimated_pnl_usdt": "-0.1740000000", "environment": "production", "recorded_at": 1789479611}</x:v>
      </x:c>
      <x:c r="X320" s="10" t="n">
        <x:v>0</x:v>
      </x:c>
      <x:c r="Y320" s="8" t="n">
        <x:v>46280.56957175926</x:v>
      </x:c>
      <x:c r="Z320" s="3" t="str">
        <x:v>2026-09-15</x:v>
      </x:c>
      <x:c r="AA320" s="3" t="str">
        <x:v>ACTIVE / MIXED</x:v>
      </x:c>
      <x:c r="AB320" s="8" t="n">
        <x:v>46280.69190972222</x:v>
      </x:c>
      <x:c r="AC320" s="10" t="n">
        <x:v>230</x:v>
      </x:c>
      <x:c r="AD320" s="3"/>
      <x:c r="AE320" s="3"/>
      <x:c r="AF320" s="9"/>
      <x:c r="AG320" s="3"/>
      <x:c r="AH320" s="9"/>
      <x:c r="AI320" s="9"/>
      <x:c r="AJ320" s="3"/>
      <x:c r="AK320" s="9"/>
      <x:c r="AL320" s="3"/>
      <x:c r="AM320" s="3"/>
    </x:row>
    <x:row r="321" ht="21" customHeight="1">
      <x:c r="A321" s="8" t="n">
        <x:v>46280.69483796296</x:v>
      </x:c>
      <x:c r="B321" s="3" t="str">
        <x:v>NEARUSDT</x:v>
      </x:c>
      <x:c r="C321" s="3" t="str">
        <x:v>BUY</x:v>
      </x:c>
      <x:c r="D321" s="3" t="str">
        <x:v>5128898767</x:v>
      </x:c>
      <x:c r="E321" s="9" t="n">
        <x:v>12.5</x:v>
      </x:c>
      <x:c r="F321" s="9" t="n">
        <x:v>2.382</x:v>
      </x:c>
      <x:c r="G321" s="9" t="n">
        <x:v>29.775</x:v>
      </x:c>
      <x:c r="H321" s="9"/>
      <x:c r="I321" s="3"/>
      <x:c r="J321" s="3" t="str">
        <x:v>gross only; actual fees not recorded</x:v>
      </x:c>
      <x:c r="K321" s="3" t="str">
        <x:v>strategy buy signal</x:v>
      </x:c>
      <x:c r="L321" s="3" t="str">
        <x:v>production</x:v>
      </x:c>
      <x:c r="M321" s="10" t="n">
        <x:v>939</x:v>
      </x:c>
      <x:c r="N321" s="3" t="str">
        <x:v>USDT</x:v>
      </x:c>
      <x:c r="O321" s="9" t="n">
        <x:v>1789479599999</x:v>
      </x:c>
      <x:c r="P321" s="4" t="b">
        <x:v>0</x:v>
      </x:c>
      <x:c r="Q321" s="4" t="b">
        <x:v>1</x:v>
      </x:c>
      <x:c r="R321" s="4" t="b">
        <x:v>1</x:v>
      </x:c>
      <x:c r="S321" s="4" t="b">
        <x:v>1</x:v>
      </x:c>
      <x:c r="T321" s="4" t="b">
        <x:v>1</x:v>
      </x:c>
      <x:c r="U321" s="4" t="b">
        <x:v>1</x:v>
      </x:c>
      <x:c r="V321" s="10" t="n">
        <x:v>1789479634</x:v>
      </x:c>
      <x:c r="W321" s="3" t="str">
        <x:v>{"side": "BUY", "symbol": "NEARUSDT", "order_id": 5128898767, "quantity": "12.50000000", "price": "2.382", "quote_amount": "29.77500000",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1789479634}</x:v>
      </x:c>
      <x:c r="X321" s="10" t="n">
        <x:v>0</x:v>
      </x:c>
      <x:c r="Y321" s="8" t="n">
        <x:v>46280.56983796296</x:v>
      </x:c>
      <x:c r="Z321" s="3" t="str">
        <x:v>2026-09-15</x:v>
      </x:c>
      <x:c r="AA321" s="3" t="str">
        <x:v>ACTIVE / MIXED</x:v>
      </x:c>
      <x:c r="AB321" s="8" t="n">
        <x:v>46280.69190972222</x:v>
      </x:c>
      <x:c r="AC321" s="10" t="n">
        <x:v>253</x:v>
      </x:c>
      <x:c r="AD321" s="3" t="str">
        <x:v>rsi_recovered</x:v>
      </x:c>
      <x:c r="AE321" s="3"/>
      <x:c r="AF321" s="9"/>
      <x:c r="AG321" s="3"/>
      <x:c r="AH321" s="9"/>
      <x:c r="AI321" s="9"/>
      <x:c r="AJ321" s="3"/>
      <x:c r="AK321" s="9"/>
      <x:c r="AL321" s="3"/>
      <x:c r="AM321" s="3"/>
    </x:row>
    <x:row r="322" ht="21" customHeight="1">
      <x:c r="A322" s="8" t="n">
        <x:v>46280.69489583333</x:v>
      </x:c>
      <x:c r="B322" s="3" t="str">
        <x:v>AVAXUSDT</x:v>
      </x:c>
      <x:c r="C322" s="3" t="str">
        <x:v>BUY</x:v>
      </x:c>
      <x:c r="D322" s="3" t="str">
        <x:v>5736655065</x:v>
      </x:c>
      <x:c r="E322" s="9" t="n">
        <x:v>3.98</x:v>
      </x:c>
      <x:c r="F322" s="9" t="n">
        <x:v>7.537</x:v>
      </x:c>
      <x:c r="G322" s="9" t="n">
        <x:v>29.99726</x:v>
      </x:c>
      <x:c r="H322" s="9"/>
      <x:c r="I322" s="3"/>
      <x:c r="J322" s="3" t="str">
        <x:v>gross only; actual fees not recorded</x:v>
      </x:c>
      <x:c r="K322" s="3" t="str">
        <x:v>strategy buy signal</x:v>
      </x:c>
      <x:c r="L322" s="3" t="str">
        <x:v>production</x:v>
      </x:c>
      <x:c r="M322" s="10" t="n">
        <x:v>940</x:v>
      </x:c>
      <x:c r="N322" s="3" t="str">
        <x:v>USDT</x:v>
      </x:c>
      <x:c r="O322" s="9" t="n">
        <x:v>1789479599999</x:v>
      </x:c>
      <x:c r="P322" s="4" t="b">
        <x:v>0</x:v>
      </x:c>
      <x:c r="Q322" s="4" t="b">
        <x:v>1</x:v>
      </x:c>
      <x:c r="R322" s="4" t="b">
        <x:v>1</x:v>
      </x:c>
      <x:c r="S322" s="4" t="b">
        <x:v>1</x:v>
      </x:c>
      <x:c r="T322" s="4" t="b">
        <x:v>1</x:v>
      </x:c>
      <x:c r="U322" s="4" t="b">
        <x:v>1</x:v>
      </x:c>
      <x:c r="V322" s="10" t="n">
        <x:v>1789479639</x:v>
      </x:c>
      <x:c r="W322" s="3" t="str">
        <x:v>{"side": "BUY", "symbol": "AVAXUSDT", "order_id": 5736655065, "quantity": "3.98000000", "price": "7.537", "quote_amount": "29.99726000",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1789479639}</x:v>
      </x:c>
      <x:c r="X322" s="10" t="n">
        <x:v>0</x:v>
      </x:c>
      <x:c r="Y322" s="8" t="n">
        <x:v>46280.56989583333</x:v>
      </x:c>
      <x:c r="Z322" s="3" t="str">
        <x:v>2026-09-15</x:v>
      </x:c>
      <x:c r="AA322" s="3" t="str">
        <x:v>ACTIVE / MIXED</x:v>
      </x:c>
      <x:c r="AB322" s="8" t="n">
        <x:v>46280.69190972222</x:v>
      </x:c>
      <x:c r="AC322" s="10" t="n">
        <x:v>258</x:v>
      </x:c>
      <x:c r="AD322" s="3" t="str">
        <x:v>rsi_recovered</x:v>
      </x:c>
      <x:c r="AE322" s="3"/>
      <x:c r="AF322" s="9"/>
      <x:c r="AG322" s="3"/>
      <x:c r="AH322" s="9"/>
      <x:c r="AI322" s="9"/>
      <x:c r="AJ322" s="3"/>
      <x:c r="AK322" s="9"/>
      <x:c r="AL322" s="3"/>
      <x:c r="AM322" s="3"/>
    </x:row>
    <x:row r="323" ht="21" customHeight="1">
      <x:c r="A323" s="8" t="n">
        <x:v>46280.694918981484</x:v>
      </x:c>
      <x:c r="B323" s="3" t="str">
        <x:v>LINKUSDT</x:v>
      </x:c>
      <x:c r="C323" s="3" t="str">
        <x:v>BUY</x:v>
      </x:c>
      <x:c r="D323" s="3" t="str">
        <x:v>8013541860</x:v>
      </x:c>
      <x:c r="E323" s="9" t="n">
        <x:v>2.57</x:v>
      </x:c>
      <x:c r="F323" s="9" t="n">
        <x:v>11.372824902723735</x:v>
      </x:c>
      <x:c r="G323" s="9" t="n">
        <x:v>29.22816</x:v>
      </x:c>
      <x:c r="H323" s="9"/>
      <x:c r="I323" s="3"/>
      <x:c r="J323" s="3" t="str">
        <x:v>gross only; actual fees not recorded</x:v>
      </x:c>
      <x:c r="K323" s="3" t="str">
        <x:v>strategy buy signal</x:v>
      </x:c>
      <x:c r="L323" s="3" t="str">
        <x:v>production</x:v>
      </x:c>
      <x:c r="M323" s="10" t="n">
        <x:v>941</x:v>
      </x:c>
      <x:c r="N323" s="3" t="str">
        <x:v>USDT</x:v>
      </x:c>
      <x:c r="O323" s="9" t="n">
        <x:v>1789479599999</x:v>
      </x:c>
      <x:c r="P323" s="4" t="b">
        <x:v>0</x:v>
      </x:c>
      <x:c r="Q323" s="4" t="b">
        <x:v>1</x:v>
      </x:c>
      <x:c r="R323" s="4" t="b">
        <x:v>1</x:v>
      </x:c>
      <x:c r="S323" s="4" t="b">
        <x:v>1</x:v>
      </x:c>
      <x:c r="T323" s="4" t="b">
        <x:v>1</x:v>
      </x:c>
      <x:c r="U323" s="4" t="b">
        <x:v>1</x:v>
      </x:c>
      <x:c r="V323" s="10" t="n">
        <x:v>1789479641</x:v>
      </x:c>
      <x:c r="W323" s="3" t="str">
        <x:v>{"side": "BUY", "symbol": "LINKUSDT", "order_id": 8013541860, "quantity": "2.57000000", "price": "11.37282490272373540856031128", "quote_amount": "29.22816000",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1789479641}</x:v>
      </x:c>
      <x:c r="X323" s="10" t="n">
        <x:v>0</x:v>
      </x:c>
      <x:c r="Y323" s="8" t="n">
        <x:v>46280.569918981484</x:v>
      </x:c>
      <x:c r="Z323" s="3" t="str">
        <x:v>2026-09-15</x:v>
      </x:c>
      <x:c r="AA323" s="3" t="str">
        <x:v>ACTIVE / MIXED</x:v>
      </x:c>
      <x:c r="AB323" s="8" t="n">
        <x:v>46280.69190972222</x:v>
      </x:c>
      <x:c r="AC323" s="10" t="n">
        <x:v>260</x:v>
      </x:c>
      <x:c r="AD323" s="3" t="str">
        <x:v>rsi_recovered</x:v>
      </x:c>
      <x:c r="AE323" s="3"/>
      <x:c r="AF323" s="9"/>
      <x:c r="AG323" s="3"/>
      <x:c r="AH323" s="9"/>
      <x:c r="AI323" s="9"/>
      <x:c r="AJ323" s="3"/>
      <x:c r="AK323" s="9"/>
      <x:c r="AL323" s="3"/>
      <x:c r="AM323" s="3"/>
    </x:row>
    <x:row r="324" ht="21" customHeight="1">
      <x:c r="A324" s="8" t="n">
        <x:v>46280.69503472222</x:v>
      </x:c>
      <x:c r="B324" s="3" t="str">
        <x:v>SUIUSDT</x:v>
      </x:c>
      <x:c r="C324" s="3" t="str">
        <x:v>SELL</x:v>
      </x:c>
      <x:c r="D324" s="3" t="str">
        <x:v>8855283318</x:v>
      </x:c>
      <x:c r="E324" s="9" t="n">
        <x:v>34.4</x:v>
      </x:c>
      <x:c r="F324" s="9" t="n">
        <x:v>0.7093</x:v>
      </x:c>
      <x:c r="G324" s="9" t="n">
        <x:v>24.39992</x:v>
      </x:c>
      <x:c r="H324" s="9" t="n">
        <x:v>0.14792</x:v>
      </x:c>
      <x:c r="I324" s="3"/>
      <x:c r="J324" s="3" t="str">
        <x:v>gross only; actual fees not recorded</x:v>
      </x:c>
      <x:c r="K324" s="3" t="str">
        <x:v>take profit</x:v>
      </x:c>
      <x:c r="L324" s="3" t="str">
        <x:v>production</x:v>
      </x:c>
      <x:c r="M324" s="10" t="n">
        <x:v>942</x:v>
      </x:c>
      <x:c r="N324" s="3" t="str">
        <x:v>USDT</x:v>
      </x:c>
      <x:c r="O324" s="9"/>
      <x:c r="P324" s="3"/>
      <x:c r="Q324" s="3"/>
      <x:c r="R324" s="3"/>
      <x:c r="S324" s="3"/>
      <x:c r="T324" s="3"/>
      <x:c r="U324" s="3"/>
      <x:c r="V324" s="10" t="n">
        <x:v>1789479651</x:v>
      </x:c>
      <x:c r="W324" s="3" t="str">
        <x:v>{"side": "SELL", "symbol": "SUIUSDT", "order_id": 8855283318, "quantity": "34.40000000", "price": "0.7093", "quote_amount": "24.39992000", "quote_asset": "USDT", "reason": "take profit", "estimated_pnl_usdt": "0.147920000000", "environment": "production", "recorded_at": 1789479651}</x:v>
      </x:c>
      <x:c r="X324" s="10" t="n">
        <x:v>0</x:v>
      </x:c>
      <x:c r="Y324" s="8" t="n">
        <x:v>46280.57003472222</x:v>
      </x:c>
      <x:c r="Z324" s="3" t="str">
        <x:v>2026-09-15</x:v>
      </x:c>
      <x:c r="AA324" s="3" t="str">
        <x:v>ACTIVE / MIXED</x:v>
      </x:c>
      <x:c r="AB324" s="8" t="n">
        <x:v>46280.69190972222</x:v>
      </x:c>
      <x:c r="AC324" s="10" t="n">
        <x:v>270</x:v>
      </x:c>
      <x:c r="AD324" s="3"/>
      <x:c r="AE324" s="3"/>
      <x:c r="AF324" s="9"/>
      <x:c r="AG324" s="3"/>
      <x:c r="AH324" s="9"/>
      <x:c r="AI324" s="9"/>
      <x:c r="AJ324" s="3"/>
      <x:c r="AK324" s="9"/>
      <x:c r="AL324" s="3"/>
      <x:c r="AM324" s="3"/>
    </x:row>
    <x:row r="325" ht="21" customHeight="1">
      <x:c r="A325" s="8" t="n">
        <x:v>46280.6953587963</x:v>
      </x:c>
      <x:c r="B325" s="3" t="str">
        <x:v>TRUMPUSDT</x:v>
      </x:c>
      <x:c r="C325" s="3" t="str">
        <x:v>BUY</x:v>
      </x:c>
      <x:c r="D325" s="3" t="str">
        <x:v>2084029750</x:v>
      </x:c>
      <x:c r="E325" s="9" t="n">
        <x:v>12.343</x:v>
      </x:c>
      <x:c r="F325" s="9" t="n">
        <x:v>1.977</x:v>
      </x:c>
      <x:c r="G325" s="9" t="n">
        <x:v>24.402111</x:v>
      </x:c>
      <x:c r="H325" s="9"/>
      <x:c r="I325" s="3"/>
      <x:c r="J325" s="3" t="str">
        <x:v>gross only; actual fees not recorded</x:v>
      </x:c>
      <x:c r="K325" s="3" t="str">
        <x:v>strategy buy signal</x:v>
      </x:c>
      <x:c r="L325" s="3" t="str">
        <x:v>production</x:v>
      </x:c>
      <x:c r="M325" s="10" t="n">
        <x:v>943</x:v>
      </x:c>
      <x:c r="N325" s="3" t="str">
        <x:v>USDT</x:v>
      </x:c>
      <x:c r="O325" s="9" t="n">
        <x:v>1789479599999</x:v>
      </x:c>
      <x:c r="P325" s="4" t="b">
        <x:v>0</x:v>
      </x:c>
      <x:c r="Q325" s="4" t="b">
        <x:v>1</x:v>
      </x:c>
      <x:c r="R325" s="4" t="b">
        <x:v>1</x:v>
      </x:c>
      <x:c r="S325" s="4" t="b">
        <x:v>1</x:v>
      </x:c>
      <x:c r="T325" s="4" t="b">
        <x:v>1</x:v>
      </x:c>
      <x:c r="U325" s="4" t="b">
        <x:v>1</x:v>
      </x:c>
      <x:c r="V325" s="10" t="n">
        <x:v>1789479679</x:v>
      </x:c>
      <x:c r="W325" s="3" t="str">
        <x:v>{"side": "BUY", "symbol": "TRUMPUSDT", "order_id": 2084029750, "quantity": "12.34300000", "price": "1.977", "quote_amount": "24.40211100", "quote_asset": "USDT", "signal_candle_close_time": 1789479599999, "reason": "strategy buy signal", "entry_conditions": {"rsi_recovered": false, "near_support": true, "trend_ok": true, "reward_ok": true, "stop_risk_ok": true, "momentum_ok": true}, "environment": "production", "recorded_at": 1789479679}</x:v>
      </x:c>
      <x:c r="X325" s="10" t="n">
        <x:v>0</x:v>
      </x:c>
      <x:c r="Y325" s="8" t="n">
        <x:v>46280.5703587963</x:v>
      </x:c>
      <x:c r="Z325" s="3" t="str">
        <x:v>2026-09-15</x:v>
      </x:c>
      <x:c r="AA325" s="3" t="str">
        <x:v>ACTIVE / MIXED</x:v>
      </x:c>
      <x:c r="AB325" s="8" t="n">
        <x:v>46280.69190972222</x:v>
      </x:c>
      <x:c r="AC325" s="10" t="n">
        <x:v>298</x:v>
      </x:c>
      <x:c r="AD325" s="3" t="str">
        <x:v>rsi_recovered</x:v>
      </x:c>
      <x:c r="AE325" s="3"/>
      <x:c r="AF325" s="9"/>
      <x:c r="AG325" s="3"/>
      <x:c r="AH325" s="9"/>
      <x:c r="AI325" s="9"/>
      <x:c r="AJ325" s="3"/>
      <x:c r="AK325" s="9"/>
      <x:c r="AL325" s="3"/>
      <x:c r="AM325" s="3"/>
    </x:row>
    <x:row r="326" ht="21" customHeight="1">
      <x:c r="A326" s="8" t="n">
        <x:v>46280.70064814815</x:v>
      </x:c>
      <x:c r="B326" s="3" t="str">
        <x:v>WLDUSDT</x:v>
      </x:c>
      <x:c r="C326" s="3" t="str">
        <x:v>SELL</x:v>
      </x:c>
      <x:c r="D326" s="3" t="str">
        <x:v>4154893471</x:v>
      </x:c>
      <x:c r="E326" s="9" t="n">
        <x:v>80.1</x:v>
      </x:c>
      <x:c r="F326" s="9" t="n">
        <x:v>0.3761</x:v>
      </x:c>
      <x:c r="G326" s="9" t="n">
        <x:v>30.12561</x:v>
      </x:c>
      <x:c r="H326" s="9" t="n">
        <x:v>0.18423</x:v>
      </x:c>
      <x:c r="I326" s="3"/>
      <x:c r="J326" s="3" t="str">
        <x:v>gross only; actual fees not recorded</x:v>
      </x:c>
      <x:c r="K326" s="3" t="str">
        <x:v>take profit</x:v>
      </x:c>
      <x:c r="L326" s="3" t="str">
        <x:v>production</x:v>
      </x:c>
      <x:c r="M326" s="10" t="n">
        <x:v>944</x:v>
      </x:c>
      <x:c r="N326" s="3" t="str">
        <x:v>USDT</x:v>
      </x:c>
      <x:c r="O326" s="9"/>
      <x:c r="P326" s="3"/>
      <x:c r="Q326" s="3"/>
      <x:c r="R326" s="3"/>
      <x:c r="S326" s="3"/>
      <x:c r="T326" s="3"/>
      <x:c r="U326" s="3"/>
      <x:c r="V326" s="10" t="n">
        <x:v>1789480136</x:v>
      </x:c>
      <x:c r="W326" s="3" t="str">
        <x:v>{"side": "SELL", "symbol": "WLDUSDT", "order_id": 4154893471, "quantity": "80.10000000", "price": "0.3761", "quote_amount": "30.12561000", "quote_asset": "USDT", "reason": "take profit", "estimated_pnl_usdt": "0.184230000000", "environment": "production", "recorded_at": 1789480136}</x:v>
      </x:c>
      <x:c r="X326" s="10" t="n">
        <x:v>0</x:v>
      </x:c>
      <x:c r="Y326" s="8" t="n">
        <x:v>46280.57564814815</x:v>
      </x:c>
      <x:c r="Z326" s="3" t="str">
        <x:v>2026-09-15</x:v>
      </x:c>
      <x:c r="AA326" s="3" t="str">
        <x:v>ACTIVE / MIXED</x:v>
      </x:c>
      <x:c r="AB326" s="8" t="n">
        <x:v>46280.69190972222</x:v>
      </x:c>
      <x:c r="AC326" s="10" t="n">
        <x:v>755</x:v>
      </x:c>
      <x:c r="AD326" s="3"/>
      <x:c r="AE326" s="3"/>
      <x:c r="AF326" s="9"/>
      <x:c r="AG326" s="3"/>
      <x:c r="AH326" s="9"/>
      <x:c r="AI326" s="9"/>
      <x:c r="AJ326" s="3"/>
      <x:c r="AK326" s="9"/>
      <x:c r="AL326" s="3"/>
      <x:c r="AM326" s="3"/>
    </x:row>
    <x:row r="327" ht="21" customHeight="1">
      <x:c r="A327" s="8" t="n">
        <x:v>46280.70648148148</x:v>
      </x:c>
      <x:c r="B327" s="3" t="str">
        <x:v>ADAUSDT</x:v>
      </x:c>
      <x:c r="C327" s="3" t="str">
        <x:v>SELL</x:v>
      </x:c>
      <x:c r="D327" s="3" t="str">
        <x:v>8789143742</x:v>
      </x:c>
      <x:c r="E327" s="9" t="n">
        <x:v>147.2</x:v>
      </x:c>
      <x:c r="F327" s="9" t="n">
        <x:v>0.2049</x:v>
      </x:c>
      <x:c r="G327" s="9" t="n">
        <x:v>30.16128</x:v>
      </x:c>
      <x:c r="H327" s="9" t="n">
        <x:v>0.19136</x:v>
      </x:c>
      <x:c r="I327" s="3"/>
      <x:c r="J327" s="3" t="str">
        <x:v>missing</x:v>
      </x:c>
      <x:c r="K327" s="3" t="str">
        <x:v>take profit</x:v>
      </x:c>
      <x:c r="L327" s="3" t="str">
        <x:v>production</x:v>
      </x:c>
      <x:c r="M327" s="10" t="n">
        <x:v>945</x:v>
      </x:c>
      <x:c r="N327" s="3" t="str">
        <x:v>USDT</x:v>
      </x:c>
      <x:c r="O327" s="9"/>
      <x:c r="P327" s="3"/>
      <x:c r="Q327" s="3"/>
      <x:c r="R327" s="3"/>
      <x:c r="S327" s="3"/>
      <x:c r="T327" s="3"/>
      <x:c r="U327" s="3"/>
      <x:c r="V327" s="10" t="n">
        <x:v>1789480640</x:v>
      </x:c>
      <x:c r="W327" s="3" t="str">
        <x:v>{"side": "SELL", "symbol": "ADAUSDT", "order_id": 8789143742, "quantity": "147.20000000", "price": "0.2049", "quote_amount": "30.16128000", "quote_asset": "USDT", "reason": "take profit", "estimated_pnl_usdt": "0.191360000000", "commissions": {"USDT": "0.03016128"}, "commission_quote": "0.03016128", "commission_status": "actual", "commission_conversion_rates": {}, "base_commission_quantity": "0", "base_commission_quote": "0", "net_pnl_usdt": null, "pnl_status": "missing", "remaining_quantity": "0.10000000", "remaining_cost_basis_quote": null, "remaining_is_dust": true, "environment": "production", "recorded_at": 1789480640}</x:v>
      </x:c>
      <x:c r="X327" s="10" t="n">
        <x:v>0</x:v>
      </x:c>
      <x:c r="Y327" s="8" t="n">
        <x:v>46280.58148148148</x:v>
      </x:c>
      <x:c r="Z327" s="3" t="str">
        <x:v>2026-09-15</x:v>
      </x:c>
      <x:c r="AA327" s="3" t="str">
        <x:v>ACTIVE / MIXED</x:v>
      </x:c>
      <x:c r="AB327" s="8" t="n">
        <x:v>46280.70538194444</x:v>
      </x:c>
      <x:c r="AC327" s="10" t="n">
        <x:v>95</x:v>
      </x:c>
      <x:c r="AD327" s="3"/>
      <x:c r="AE327" s="3" t="str">
        <x:v>0.03016128</x:v>
      </x:c>
      <x:c r="AF327" s="9" t="n">
        <x:v>0.03016128</x:v>
      </x:c>
      <x:c r="AG327" s="3" t="str">
        <x:v>actual</x:v>
      </x:c>
      <x:c r="AH327" s="9" t="n">
        <x:v>0</x:v>
      </x:c>
      <x:c r="AI327" s="9" t="n">
        <x:v>0</x:v>
      </x:c>
      <x:c r="AJ327" s="3" t="str">
        <x:v>missing</x:v>
      </x:c>
      <x:c r="AK327" s="9" t="n">
        <x:v>0.1</x:v>
      </x:c>
      <x:c r="AL327" s="3"/>
      <x:c r="AM327" s="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784432f4f294d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32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2">
      <x:c r="A2" s="1" t="str">
        <x:v>Trade review</x:v>
      </x:c>
    </x:row>
    <x:row r="3">
      <x:c r="A3" t="str">
        <x:v>Source: transactions.jsonl, including pre-window buys. Links are inferred, not exchange lot accounting.</x:v>
      </x:c>
    </x:row>
    <x:row r="5" ht="44" customHeight="1">
      <x:c r="A5" s="7" t="str">
        <x:v>exit_riyadh</x:v>
      </x:c>
      <x:c r="B5" s="7" t="str">
        <x:v>symbol</x:v>
      </x:c>
      <x:c r="C5" s="7" t="str">
        <x:v>reason</x:v>
      </x:c>
      <x:c r="D5" s="7" t="str">
        <x:v>gross_pnl_recorded</x:v>
      </x:c>
      <x:c r="E5" s="7" t="str">
        <x:v>net_pnl_recorded</x:v>
      </x:c>
      <x:c r="F5" s="7" t="str">
        <x:v>pnl_basis</x:v>
      </x:c>
      <x:c r="G5" s="7" t="str">
        <x:v>holding_minutes</x:v>
      </x:c>
      <x:c r="H5" s="7" t="str">
        <x:v>match_status</x:v>
      </x:c>
      <x:c r="I5" s="7" t="str">
        <x:v>environment</x:v>
      </x:c>
      <x:c r="J5" s="7" t="str">
        <x:v>sell_order_id</x:v>
      </x:c>
      <x:c r="K5" s="7" t="str">
        <x:v>buy_order_id</x:v>
      </x:c>
      <x:c r="L5" s="7" t="str">
        <x:v>entry_riyadh</x:v>
      </x:c>
      <x:c r="M5" s="7" t="str">
        <x:v>entry_price</x:v>
      </x:c>
      <x:c r="N5" s="7" t="str">
        <x:v>exit_price</x:v>
      </x:c>
      <x:c r="O5" s="7" t="str">
        <x:v>sold_quantity</x:v>
      </x:c>
      <x:c r="P5" s="7" t="str">
        <x:v>entry_source_line</x:v>
      </x:c>
      <x:c r="Q5" s="7" t="str">
        <x:v>exit_source_line</x:v>
      </x:c>
      <x:c r="R5" s="7" t="str">
        <x:v>entry_before_window</x:v>
      </x:c>
      <x:c r="S5" s="7" t="str">
        <x:v>entry_conditions.rsi_recovered</x:v>
      </x:c>
      <x:c r="T5" s="7" t="str">
        <x:v>entry_conditions.near_support</x:v>
      </x:c>
      <x:c r="U5" s="7" t="str">
        <x:v>entry_conditions.trend_ok</x:v>
      </x:c>
      <x:c r="V5" s="7" t="str">
        <x:v>entry_conditions.reward_ok</x:v>
      </x:c>
      <x:c r="W5" s="7" t="str">
        <x:v>entry_conditions.stop_risk_ok</x:v>
      </x:c>
      <x:c r="X5" s="7" t="str">
        <x:v>entry_conditions.momentum_ok</x:v>
      </x:c>
    </x:row>
    <x:row r="6" ht="21" customHeight="1">
      <x:c r="A6" s="8" t="n">
        <x:v>46276.12513888889</x:v>
      </x:c>
      <x:c r="B6" s="3" t="str">
        <x:v>THEUSDT</x:v>
      </x:c>
      <x:c r="C6" s="3" t="str">
        <x:v>stop loss</x:v>
      </x:c>
      <x:c r="D6" s="9" t="n">
        <x:v>-0.13554</x:v>
      </x:c>
      <x:c r="E6" s="3"/>
      <x:c r="F6" s="3" t="str">
        <x:v>gross only; actual fees not recorded</x:v>
      </x:c>
      <x:c r="G6" s="9" t="n">
        <x:v>28.85</x:v>
      </x:c>
      <x:c r="H6" s="3" t="str">
        <x:v>Latest preceding buy; inferred</x:v>
      </x:c>
      <x:c r="I6" s="3" t="str">
        <x:v>production</x:v>
      </x:c>
      <x:c r="J6" s="3" t="str">
        <x:v>838055912</x:v>
      </x:c>
      <x:c r="K6" s="3" t="str">
        <x:v>838054688</x:v>
      </x:c>
      <x:c r="L6" s="8" t="n">
        <x:v>46276.105104166665</x:v>
      </x:c>
      <x:c r="M6" s="9" t="n">
        <x:v>0.0664</x:v>
      </x:c>
      <x:c r="N6" s="9" t="n">
        <x:v>0.0661</x:v>
      </x:c>
      <x:c r="O6" s="9" t="n">
        <x:v>451.8</x:v>
      </x:c>
      <x:c r="P6" s="10" t="n">
        <x:v>625</x:v>
      </x:c>
      <x:c r="Q6" s="10" t="n">
        <x:v>626</x:v>
      </x:c>
      <x:c r="R6" s="4" t="b">
        <x:v>0</x:v>
      </x:c>
      <x:c r="S6" s="4" t="b">
        <x:v>1</x:v>
      </x:c>
      <x:c r="T6" s="4" t="b">
        <x:v>0</x:v>
      </x:c>
      <x:c r="U6" s="4" t="b">
        <x:v>1</x:v>
      </x:c>
      <x:c r="V6" s="4" t="b">
        <x:v>1</x:v>
      </x:c>
      <x:c r="W6" s="4" t="b">
        <x:v>1</x:v>
      </x:c>
      <x:c r="X6" s="4" t="b">
        <x:v>0</x:v>
      </x:c>
    </x:row>
    <x:row r="7" ht="21" customHeight="1">
      <x:c r="A7" s="8" t="n">
        <x:v>46276.25020833333</x:v>
      </x:c>
      <x:c r="B7" s="3" t="str">
        <x:v>HOLOUSDT</x:v>
      </x:c>
      <x:c r="C7" s="3" t="str">
        <x:v>stop loss</x:v>
      </x:c>
      <x:c r="D7" s="9" t="n">
        <x:v>-0.32116</x:v>
      </x:c>
      <x:c r="E7" s="3"/>
      <x:c r="F7" s="3" t="str">
        <x:v>gross only; actual fees not recorded</x:v>
      </x:c>
      <x:c r="G7" s="9" t="n">
        <x:v>40.93333333333333</x:v>
      </x:c>
      <x:c r="H7" s="3" t="str">
        <x:v>Latest preceding buy; inferred</x:v>
      </x:c>
      <x:c r="I7" s="3" t="str">
        <x:v>production</x:v>
      </x:c>
      <x:c r="J7" s="3" t="str">
        <x:v>167395092</x:v>
      </x:c>
      <x:c r="K7" s="3" t="str">
        <x:v>167386619</x:v>
      </x:c>
      <x:c r="L7" s="8" t="n">
        <x:v>46276.22178240741</x:v>
      </x:c>
      <x:c r="M7" s="9" t="n">
        <x:v>0.061</x:v>
      </x:c>
      <x:c r="N7" s="9" t="n">
        <x:v>0.0603</x:v>
      </x:c>
      <x:c r="O7" s="9" t="n">
        <x:v>458.8</x:v>
      </x:c>
      <x:c r="P7" s="10" t="n">
        <x:v>628</x:v>
      </x:c>
      <x:c r="Q7" s="10" t="n">
        <x:v>629</x:v>
      </x:c>
      <x:c r="R7" s="4" t="b">
        <x:v>0</x:v>
      </x:c>
      <x:c r="S7" s="4" t="b">
        <x:v>1</x:v>
      </x:c>
      <x:c r="T7" s="4" t="b">
        <x:v>0</x:v>
      </x:c>
      <x:c r="U7" s="4" t="b">
        <x:v>1</x:v>
      </x:c>
      <x:c r="V7" s="4" t="b">
        <x:v>1</x:v>
      </x:c>
      <x:c r="W7" s="4" t="b">
        <x:v>1</x:v>
      </x:c>
      <x:c r="X7" s="4" t="b">
        <x:v>0</x:v>
      </x:c>
    </x:row>
    <x:row r="8" ht="21" customHeight="1">
      <x:c r="A8" s="8" t="n">
        <x:v>46276.27112268518</x:v>
      </x:c>
      <x:c r="B8" s="3" t="str">
        <x:v>SNDKBUSDT</x:v>
      </x:c>
      <x:c r="C8" s="3" t="str">
        <x:v>stop loss</x:v>
      </x:c>
      <x:c r="D8" s="9" t="n">
        <x:v>-0.227484</x:v>
      </x:c>
      <x:c r="E8" s="3"/>
      <x:c r="F8" s="3" t="str">
        <x:v>gross only; actual fees not recorded</x:v>
      </x:c>
      <x:c r="G8" s="9" t="n">
        <x:v>270.3666666666667</x:v>
      </x:c>
      <x:c r="H8" s="3" t="str">
        <x:v>Latest preceding buy; inferred</x:v>
      </x:c>
      <x:c r="I8" s="3" t="str">
        <x:v>production</x:v>
      </x:c>
      <x:c r="J8" s="3" t="str">
        <x:v>337172517</x:v>
      </x:c>
      <x:c r="K8" s="3" t="str">
        <x:v>336780617</x:v>
      </x:c>
      <x:c r="L8" s="8" t="n">
        <x:v>46276.08336805556</x:v>
      </x:c>
      <x:c r="M8" s="9" t="n">
        <x:v>1684.06</x:v>
      </x:c>
      <x:c r="N8" s="9" t="n">
        <x:v>1671.28</x:v>
      </x:c>
      <x:c r="O8" s="9" t="n">
        <x:v>0.0178</x:v>
      </x:c>
      <x:c r="P8" s="10" t="n">
        <x:v>624</x:v>
      </x:c>
      <x:c r="Q8" s="10" t="n">
        <x:v>630</x:v>
      </x:c>
      <x:c r="R8" s="4" t="b">
        <x:v>0</x:v>
      </x:c>
      <x:c r="S8" s="4" t="b">
        <x:v>1</x:v>
      </x:c>
      <x:c r="T8" s="4" t="b">
        <x:v>1</x:v>
      </x:c>
      <x:c r="U8" s="4" t="b">
        <x:v>0</x:v>
      </x:c>
      <x:c r="V8" s="4" t="b">
        <x:v>1</x:v>
      </x:c>
      <x:c r="W8" s="4" t="b">
        <x:v>1</x:v>
      </x:c>
      <x:c r="X8" s="4" t="b">
        <x:v>0</x:v>
      </x:c>
    </x:row>
    <x:row r="9" ht="21" customHeight="1">
      <x:c r="A9" s="8" t="n">
        <x:v>46276.53145833333</x:v>
      </x:c>
      <x:c r="B9" s="3" t="str">
        <x:v>AVAXUSDT</x:v>
      </x:c>
      <x:c r="C9" s="3" t="str">
        <x:v>stop loss</x:v>
      </x:c>
      <x:c r="D9" s="9" t="n">
        <x:v>-0.45409</x:v>
      </x:c>
      <x:c r="E9" s="3"/>
      <x:c r="F9" s="3" t="str">
        <x:v>gross only; actual fees not recorded</x:v>
      </x:c>
      <x:c r="G9" s="9" t="n">
        <x:v>464.18333333333334</x:v>
      </x:c>
      <x:c r="H9" s="3" t="str">
        <x:v>Latest preceding buy; inferred</x:v>
      </x:c>
      <x:c r="I9" s="3" t="str">
        <x:v>production</x:v>
      </x:c>
      <x:c r="J9" s="3" t="str">
        <x:v>5729351126</x:v>
      </x:c>
      <x:c r="K9" s="3" t="str">
        <x:v>5728894597</x:v>
      </x:c>
      <x:c r="L9" s="8" t="n">
        <x:v>46276.2091087963</x:v>
      </x:c>
      <x:c r="M9" s="9" t="n">
        <x:v>7.476</x:v>
      </x:c>
      <x:c r="N9" s="9" t="n">
        <x:v>7.385</x:v>
      </x:c>
      <x:c r="O9" s="9" t="n">
        <x:v>4.99</x:v>
      </x:c>
      <x:c r="P9" s="10" t="n">
        <x:v>627</x:v>
      </x:c>
      <x:c r="Q9" s="10" t="n">
        <x:v>633</x:v>
      </x:c>
      <x:c r="R9" s="4" t="b">
        <x:v>0</x:v>
      </x:c>
      <x:c r="S9" s="4" t="b">
        <x:v>1</x:v>
      </x:c>
      <x:c r="T9" s="4" t="b">
        <x:v>1</x:v>
      </x:c>
      <x:c r="U9" s="4" t="b">
        <x:v>0</x:v>
      </x:c>
      <x:c r="V9" s="4" t="b">
        <x:v>1</x:v>
      </x:c>
      <x:c r="W9" s="4" t="b">
        <x:v>1</x:v>
      </x:c>
      <x:c r="X9" s="4" t="b">
        <x:v>0</x:v>
      </x:c>
    </x:row>
    <x:row r="10" ht="21" customHeight="1">
      <x:c r="A10" s="8" t="n">
        <x:v>46276.56263888889</x:v>
      </x:c>
      <x:c r="B10" s="3" t="str">
        <x:v>THEUSDT</x:v>
      </x:c>
      <x:c r="C10" s="3" t="str">
        <x:v>stop loss</x:v>
      </x:c>
      <x:c r="D10" s="9" t="n">
        <x:v>-0.36585</x:v>
      </x:c>
      <x:c r="E10" s="3"/>
      <x:c r="F10" s="3" t="str">
        <x:v>gross only; actual fees not recorded</x:v>
      </x:c>
      <x:c r="G10" s="9" t="n">
        <x:v>101</x:v>
      </x:c>
      <x:c r="H10" s="3" t="str">
        <x:v>Latest preceding buy; inferred</x:v>
      </x:c>
      <x:c r="I10" s="3" t="str">
        <x:v>production</x:v>
      </x:c>
      <x:c r="J10" s="3" t="str">
        <x:v>838137482</x:v>
      </x:c>
      <x:c r="K10" s="3" t="str">
        <x:v>838123149</x:v>
      </x:c>
      <x:c r="L10" s="8" t="n">
        <x:v>46276.4925</x:v>
      </x:c>
      <x:c r="M10" s="9" t="n">
        <x:v>0.0653</x:v>
      </x:c>
      <x:c r="N10" s="9" t="n">
        <x:v>0.0644</x:v>
      </x:c>
      <x:c r="O10" s="9" t="n">
        <x:v>406.5</x:v>
      </x:c>
      <x:c r="P10" s="10" t="n">
        <x:v>632</x:v>
      </x:c>
      <x:c r="Q10" s="10" t="n">
        <x:v>634</x:v>
      </x:c>
      <x:c r="R10" s="4" t="b">
        <x:v>0</x:v>
      </x:c>
      <x:c r="S10" s="4" t="b">
        <x:v>0</x:v>
      </x:c>
      <x:c r="T10" s="4" t="b">
        <x:v>1</x:v>
      </x:c>
      <x:c r="U10" s="4" t="b">
        <x:v>1</x:v>
      </x:c>
      <x:c r="V10" s="4" t="b">
        <x:v>1</x:v>
      </x:c>
      <x:c r="W10" s="4" t="b">
        <x:v>1</x:v>
      </x:c>
      <x:c r="X10" s="4" t="b">
        <x:v>0</x:v>
      </x:c>
    </x:row>
    <x:row r="11" ht="21" customHeight="1">
      <x:c r="A11" s="8" t="n">
        <x:v>46276.648981481485</x:v>
      </x:c>
      <x:c r="B11" s="3" t="str">
        <x:v>SNDKBUSDT</x:v>
      </x:c>
      <x:c r="C11" s="3" t="str">
        <x:v>take profit</x:v>
      </x:c>
      <x:c r="D11" s="9" t="n">
        <x:v>0.73479</x:v>
      </x:c>
      <x:c r="E11" s="3"/>
      <x:c r="F11" s="3" t="str">
        <x:v>gross only; actual fees not recorded</x:v>
      </x:c>
      <x:c r="G11" s="9" t="n">
        <x:v>458.73333333333335</x:v>
      </x:c>
      <x:c r="H11" s="3" t="str">
        <x:v>Latest preceding buy; inferred</x:v>
      </x:c>
      <x:c r="I11" s="3" t="str">
        <x:v>production</x:v>
      </x:c>
      <x:c r="J11" s="3" t="str">
        <x:v>338116618</x:v>
      </x:c>
      <x:c r="K11" s="3" t="str">
        <x:v>337304706</x:v>
      </x:c>
      <x:c r="L11" s="8" t="n">
        <x:v>46276.330416666664</x:v>
      </x:c>
      <x:c r="M11" s="9" t="n">
        <x:v>1683.4325837320573</x:v>
      </x:c>
      <x:c r="N11" s="9" t="n">
        <x:v>1718.59</x:v>
      </x:c>
      <x:c r="O11" s="9" t="n">
        <x:v>0.0209</x:v>
      </x:c>
      <x:c r="P11" s="10" t="n">
        <x:v>631</x:v>
      </x:c>
      <x:c r="Q11" s="10" t="n">
        <x:v>635</x:v>
      </x:c>
      <x:c r="R11" s="4" t="b">
        <x:v>0</x:v>
      </x:c>
      <x:c r="S11" s="4" t="b">
        <x:v>1</x:v>
      </x:c>
      <x:c r="T11" s="4" t="b">
        <x:v>0</x:v>
      </x:c>
      <x:c r="U11" s="4" t="b">
        <x:v>1</x:v>
      </x:c>
      <x:c r="V11" s="4" t="b">
        <x:v>1</x:v>
      </x:c>
      <x:c r="W11" s="4" t="b">
        <x:v>1</x:v>
      </x:c>
      <x:c r="X11" s="4" t="b">
        <x:v>0</x:v>
      </x:c>
    </x:row>
    <x:row r="12" ht="21" customHeight="1">
      <x:c r="A12" s="8" t="n">
        <x:v>46277.37521990741</x:v>
      </x:c>
      <x:c r="B12" s="3" t="str">
        <x:v>AAVEUSDT</x:v>
      </x:c>
      <x:c r="C12" s="3" t="str">
        <x:v>RSI sell signal</x:v>
      </x:c>
      <x:c r="D12" s="9" t="n">
        <x:v>0.78493</x:v>
      </x:c>
      <x:c r="E12" s="3"/>
      <x:c r="F12" s="3" t="str">
        <x:v>gross only; actual fees not recorded</x:v>
      </x:c>
      <x:c r="G12" s="9" t="n">
        <x:v>418.78333333333336</x:v>
      </x:c>
      <x:c r="H12" s="3" t="str">
        <x:v>Multiple buys; latest entry shown</x:v>
      </x:c>
      <x:c r="I12" s="3" t="str">
        <x:v>production</x:v>
      </x:c>
      <x:c r="J12" s="3" t="str">
        <x:v>5703049115</x:v>
      </x:c>
      <x:c r="K12" s="3" t="str">
        <x:v>5702658820</x:v>
      </x:c>
      <x:c r="L12" s="8" t="n">
        <x:v>46277.084398148145</x:v>
      </x:c>
      <x:c r="M12" s="9" t="n">
        <x:v>124.01</x:v>
      </x:c>
      <x:c r="N12" s="9" t="n">
        <x:v>125.23</x:v>
      </x:c>
      <x:c r="O12" s="9" t="n">
        <x:v>0.64</x:v>
      </x:c>
      <x:c r="P12" s="10" t="n">
        <x:v>638</x:v>
      </x:c>
      <x:c r="Q12" s="10" t="n">
        <x:v>640</x:v>
      </x:c>
      <x:c r="R12" s="4" t="b">
        <x:v>0</x:v>
      </x:c>
      <x:c r="S12" s="4" t="b">
        <x:v>1</x:v>
      </x:c>
      <x:c r="T12" s="4" t="b">
        <x:v>1</x:v>
      </x:c>
      <x:c r="U12" s="4" t="b">
        <x:v>0</x:v>
      </x:c>
      <x:c r="V12" s="4" t="b">
        <x:v>1</x:v>
      </x:c>
      <x:c r="W12" s="4" t="b">
        <x:v>0</x:v>
      </x:c>
      <x:c r="X12" s="4" t="b">
        <x:v>0</x:v>
      </x:c>
    </x:row>
    <x:row r="13" ht="21" customHeight="1">
      <x:c r="A13" s="8" t="n">
        <x:v>46277.833553240744</x:v>
      </x:c>
      <x:c r="B13" s="3" t="str">
        <x:v>BCHUSDT</x:v>
      </x:c>
      <x:c r="C13" s="3" t="str">
        <x:v>stop loss</x:v>
      </x:c>
      <x:c r="D13" s="9" t="n">
        <x:v>-0.247</x:v>
      </x:c>
      <x:c r="E13" s="3"/>
      <x:c r="F13" s="3" t="str">
        <x:v>gross only; actual fees not recorded</x:v>
      </x:c>
      <x:c r="G13" s="9" t="n">
        <x:v>202.18333333333334</x:v>
      </x:c>
      <x:c r="H13" s="3" t="str">
        <x:v>Latest preceding buy; inferred</x:v>
      </x:c>
      <x:c r="I13" s="3" t="str">
        <x:v>production</x:v>
      </x:c>
      <x:c r="J13" s="3" t="str">
        <x:v>5499657096</x:v>
      </x:c>
      <x:c r="K13" s="3" t="str">
        <x:v>5499603110</x:v>
      </x:c>
      <x:c r="L13" s="8" t="n">
        <x:v>46277.69314814815</x:v>
      </x:c>
      <x:c r="M13" s="9" t="n">
        <x:v>230.7</x:v>
      </x:c>
      <x:c r="N13" s="9" t="n">
        <x:v>228.8</x:v>
      </x:c>
      <x:c r="O13" s="9" t="n">
        <x:v>0.13</x:v>
      </x:c>
      <x:c r="P13" s="10" t="n">
        <x:v>642</x:v>
      </x:c>
      <x:c r="Q13" s="10" t="n">
        <x:v>643</x:v>
      </x:c>
      <x:c r="R13" s="4" t="b">
        <x:v>0</x:v>
      </x:c>
      <x:c r="S13" s="4" t="b">
        <x:v>0</x:v>
      </x:c>
      <x:c r="T13" s="4" t="b">
        <x:v>1</x:v>
      </x:c>
      <x:c r="U13" s="4" t="b">
        <x:v>1</x:v>
      </x:c>
      <x:c r="V13" s="4" t="b">
        <x:v>1</x:v>
      </x:c>
      <x:c r="W13" s="4" t="b">
        <x:v>1</x:v>
      </x:c>
      <x:c r="X13" s="4" t="b">
        <x:v>1</x:v>
      </x:c>
    </x:row>
    <x:row r="14" ht="21" customHeight="1">
      <x:c r="A14" s="8" t="n">
        <x:v>46277.92407407407</x:v>
      </x:c>
      <x:c r="B14" s="3" t="str">
        <x:v>SUIUSDT</x:v>
      </x:c>
      <x:c r="C14" s="3" t="str">
        <x:v>stop loss</x:v>
      </x:c>
      <x:c r="D14" s="9" t="n">
        <x:v>-0.34587</x:v>
      </x:c>
      <x:c r="E14" s="3"/>
      <x:c r="F14" s="3" t="str">
        <x:v>gross only; actual fees not recorded</x:v>
      </x:c>
      <x:c r="G14" s="9" t="n">
        <x:v>129.95</x:v>
      </x:c>
      <x:c r="H14" s="3" t="str">
        <x:v>Latest preceding buy; inferred</x:v>
      </x:c>
      <x:c r="I14" s="3" t="str">
        <x:v>production</x:v>
      </x:c>
      <x:c r="J14" s="3" t="str">
        <x:v>8848683150</x:v>
      </x:c>
      <x:c r="K14" s="3" t="str">
        <x:v>8848563803</x:v>
      </x:c>
      <x:c r="L14" s="8" t="n">
        <x:v>46277.83383101852</x:v>
      </x:c>
      <x:c r="M14" s="9" t="n">
        <x:v>0.7275</x:v>
      </x:c>
      <x:c r="N14" s="9" t="n">
        <x:v>0.7212</x:v>
      </x:c>
      <x:c r="O14" s="9" t="n">
        <x:v>54.9</x:v>
      </x:c>
      <x:c r="P14" s="10" t="n">
        <x:v>644</x:v>
      </x:c>
      <x:c r="Q14" s="10" t="n">
        <x:v>645</x:v>
      </x:c>
      <x:c r="R14" s="4" t="b">
        <x:v>0</x:v>
      </x:c>
      <x:c r="S14" s="4" t="b">
        <x:v>0</x:v>
      </x:c>
      <x:c r="T14" s="4" t="b">
        <x:v>1</x:v>
      </x:c>
      <x:c r="U14" s="4" t="b">
        <x:v>1</x:v>
      </x:c>
      <x:c r="V14" s="4" t="b">
        <x:v>1</x:v>
      </x:c>
      <x:c r="W14" s="4" t="b">
        <x:v>1</x:v>
      </x:c>
      <x:c r="X14" s="4" t="b">
        <x:v>1</x:v>
      </x:c>
    </x:row>
    <x:row r="15" ht="21" customHeight="1">
      <x:c r="A15" s="8" t="n">
        <x:v>46277.94113425926</x:v>
      </x:c>
      <x:c r="B15" s="3" t="str">
        <x:v>ZECUSDT</x:v>
      </x:c>
      <x:c r="C15" s="3" t="str">
        <x:v>stop loss</x:v>
      </x:c>
      <x:c r="D15" s="9" t="n">
        <x:v>-0.35784</x:v>
      </x:c>
      <x:c r="E15" s="3"/>
      <x:c r="F15" s="3" t="str">
        <x:v>gross only; actual fees not recorded</x:v>
      </x:c>
      <x:c r="G15" s="9" t="n">
        <x:v>1231.8333333333333</x:v>
      </x:c>
      <x:c r="H15" s="3" t="str">
        <x:v>Latest preceding buy; inferred</x:v>
      </x:c>
      <x:c r="I15" s="3" t="str">
        <x:v>production</x:v>
      </x:c>
      <x:c r="J15" s="3" t="str">
        <x:v>6085441888</x:v>
      </x:c>
      <x:c r="K15" s="3" t="str">
        <x:v>6074353109</x:v>
      </x:c>
      <x:c r="L15" s="8" t="n">
        <x:v>46277.085694444446</x:v>
      </x:c>
      <x:c r="M15" s="9" t="n">
        <x:v>1158.12</x:v>
      </x:c>
      <x:c r="N15" s="9" t="n">
        <x:v>1118.36</x:v>
      </x:c>
      <x:c r="O15" s="9" t="n">
        <x:v>0.009</x:v>
      </x:c>
      <x:c r="P15" s="10" t="n">
        <x:v>639</x:v>
      </x:c>
      <x:c r="Q15" s="10" t="n">
        <x:v>647</x:v>
      </x:c>
      <x:c r="R15" s="4" t="b">
        <x:v>0</x:v>
      </x:c>
      <x:c r="S15" s="4" t="b">
        <x:v>1</x:v>
      </x:c>
      <x:c r="T15" s="4" t="b">
        <x:v>0</x:v>
      </x:c>
      <x:c r="U15" s="4" t="b">
        <x:v>1</x:v>
      </x:c>
      <x:c r="V15" s="4" t="b">
        <x:v>1</x:v>
      </x:c>
      <x:c r="W15" s="4" t="b">
        <x:v>0</x:v>
      </x:c>
      <x:c r="X15" s="4" t="b">
        <x:v>1</x:v>
      </x:c>
    </x:row>
    <x:row r="16" ht="21" customHeight="1">
      <x:c r="A16" s="8" t="n">
        <x:v>46278.00763888889</x:v>
      </x:c>
      <x:c r="B16" s="3" t="str">
        <x:v>ETHUSDT</x:v>
      </x:c>
      <x:c r="C16" s="3" t="str">
        <x:v>dashboard manual sell</x:v>
      </x:c>
      <x:c r="D16" s="9" t="n">
        <x:v>0.15543</x:v>
      </x:c>
      <x:c r="E16" s="3"/>
      <x:c r="F16" s="3" t="str">
        <x:v>gross only; actual fees not recorded</x:v>
      </x:c>
      <x:c r="G16" s="9" t="n">
        <x:v>850.7333333333333</x:v>
      </x:c>
      <x:c r="H16" s="3" t="str">
        <x:v>Latest preceding buy; inferred</x:v>
      </x:c>
      <x:c r="I16" s="3" t="str">
        <x:v>production</x:v>
      </x:c>
      <x:c r="J16" s="3" t="str">
        <x:v>49776149503</x:v>
      </x:c>
      <x:c r="K16" s="3" t="str">
        <x:v>49771057585</x:v>
      </x:c>
      <x:c r="L16" s="8" t="n">
        <x:v>46277.41685185185</x:v>
      </x:c>
      <x:c r="M16" s="9" t="n">
        <x:v>2520.15</x:v>
      </x:c>
      <x:c r="N16" s="9" t="n">
        <x:v>2528</x:v>
      </x:c>
      <x:c r="O16" s="9" t="n">
        <x:v>0.0198</x:v>
      </x:c>
      <x:c r="P16" s="10" t="n">
        <x:v>641</x:v>
      </x:c>
      <x:c r="Q16" s="10" t="n">
        <x:v>649</x:v>
      </x:c>
      <x:c r="R16" s="4" t="b">
        <x:v>0</x:v>
      </x:c>
      <x:c r="S16" s="4" t="b">
        <x:v>1</x:v>
      </x:c>
      <x:c r="T16" s="4" t="b">
        <x:v>1</x:v>
      </x:c>
      <x:c r="U16" s="4" t="b">
        <x:v>1</x:v>
      </x:c>
      <x:c r="V16" s="4" t="b">
        <x:v>1</x:v>
      </x:c>
      <x:c r="W16" s="4" t="b">
        <x:v>1</x:v>
      </x:c>
      <x:c r="X16" s="4" t="b">
        <x:v>0</x:v>
      </x:c>
    </x:row>
    <x:row r="17" ht="21" customHeight="1">
      <x:c r="A17" s="8" t="n">
        <x:v>46278.02112268518</x:v>
      </x:c>
      <x:c r="B17" s="3" t="str">
        <x:v>ADAUSDT</x:v>
      </x:c>
      <x:c r="C17" s="3" t="str">
        <x:v>stop loss</x:v>
      </x:c>
      <x:c r="D17" s="9" t="n">
        <x:v>-0.1476</x:v>
      </x:c>
      <x:c r="E17" s="3"/>
      <x:c r="F17" s="3" t="str">
        <x:v>gross only; actual fees not recorded</x:v>
      </x:c>
      <x:c r="G17" s="9" t="n">
        <x:v>69.8</x:v>
      </x:c>
      <x:c r="H17" s="3" t="str">
        <x:v>Latest preceding buy; inferred</x:v>
      </x:c>
      <x:c r="I17" s="3" t="str">
        <x:v>production</x:v>
      </x:c>
      <x:c r="J17" s="3" t="str">
        <x:v>8786086619</x:v>
      </x:c>
      <x:c r="K17" s="3" t="str">
        <x:v>8786067825</x:v>
      </x:c>
      <x:c r="L17" s="8" t="n">
        <x:v>46277.972650462965</x:v>
      </x:c>
      <x:c r="M17" s="9" t="n">
        <x:v>0.2079</x:v>
      </x:c>
      <x:c r="N17" s="9" t="n">
        <x:v>0.2069</x:v>
      </x:c>
      <x:c r="O17" s="9" t="n">
        <x:v>147.6</x:v>
      </x:c>
      <x:c r="P17" s="10" t="n">
        <x:v>648</x:v>
      </x:c>
      <x:c r="Q17" s="10" t="n">
        <x:v>652</x:v>
      </x:c>
      <x:c r="R17" s="4" t="b">
        <x:v>0</x:v>
      </x:c>
      <x:c r="S17" s="4" t="b">
        <x:v>0</x:v>
      </x:c>
      <x:c r="T17" s="4" t="b">
        <x:v>1</x:v>
      </x:c>
      <x:c r="U17" s="4" t="b">
        <x:v>1</x:v>
      </x:c>
      <x:c r="V17" s="4" t="b">
        <x:v>1</x:v>
      </x:c>
      <x:c r="W17" s="4" t="b">
        <x:v>1</x:v>
      </x:c>
      <x:c r="X17" s="4" t="b">
        <x:v>1</x:v>
      </x:c>
    </x:row>
    <x:row r="18" ht="21" customHeight="1">
      <x:c r="A18" s="8" t="n">
        <x:v>46278.04681712963</x:v>
      </x:c>
      <x:c r="B18" s="3" t="str">
        <x:v>UNIUSDT</x:v>
      </x:c>
      <x:c r="C18" s="3" t="str">
        <x:v>dashboard manual sell</x:v>
      </x:c>
      <x:c r="D18" s="9" t="n">
        <x:v>0.08514</x:v>
      </x:c>
      <x:c r="E18" s="3"/>
      <x:c r="F18" s="3" t="str">
        <x:v>gross only; actual fees not recorded</x:v>
      </x:c>
      <x:c r="G18" s="9" t="n">
        <x:v>14.633333333333333</x:v>
      </x:c>
      <x:c r="H18" s="3" t="str">
        <x:v>Latest preceding buy; inferred</x:v>
      </x:c>
      <x:c r="I18" s="3" t="str">
        <x:v>production</x:v>
      </x:c>
      <x:c r="J18" s="3" t="str">
        <x:v>5334493677</x:v>
      </x:c>
      <x:c r="K18" s="3" t="str">
        <x:v>5334482418</x:v>
      </x:c>
      <x:c r="L18" s="8" t="n">
        <x:v>46278.03665509259</x:v>
      </x:c>
      <x:c r="M18" s="9" t="n">
        <x:v>6.335</x:v>
      </x:c>
      <x:c r="N18" s="9" t="n">
        <x:v>6.353</x:v>
      </x:c>
      <x:c r="O18" s="9" t="n">
        <x:v>4.73</x:v>
      </x:c>
      <x:c r="P18" s="10" t="n">
        <x:v>654</x:v>
      </x:c>
      <x:c r="Q18" s="10" t="n">
        <x:v>655</x:v>
      </x:c>
      <x:c r="R18" s="4" t="b">
        <x:v>0</x:v>
      </x:c>
      <x:c r="S18" s="4" t="b">
        <x:v>0</x:v>
      </x:c>
      <x:c r="T18" s="4" t="b">
        <x:v>1</x:v>
      </x:c>
      <x:c r="U18" s="4" t="b">
        <x:v>1</x:v>
      </x:c>
      <x:c r="V18" s="4" t="b">
        <x:v>1</x:v>
      </x:c>
      <x:c r="W18" s="4" t="b">
        <x:v>1</x:v>
      </x:c>
      <x:c r="X18" s="4" t="b">
        <x:v>1</x:v>
      </x:c>
    </x:row>
    <x:row r="19" ht="21" customHeight="1">
      <x:c r="A19" s="8" t="n">
        <x:v>46278.05241898148</x:v>
      </x:c>
      <x:c r="B19" s="3" t="str">
        <x:v>THEUSDT</x:v>
      </x:c>
      <x:c r="C19" s="3" t="str">
        <x:v>RSI sell signal</x:v>
      </x:c>
      <x:c r="D19" s="9" t="n">
        <x:v>0.31108</x:v>
      </x:c>
      <x:c r="E19" s="3"/>
      <x:c r="F19" s="3" t="str">
        <x:v>gross only; actual fees not recorded</x:v>
      </x:c>
      <x:c r="G19" s="9" t="n">
        <x:v>7.566666666666666</x:v>
      </x:c>
      <x:c r="H19" s="3" t="str">
        <x:v>Latest preceding buy; inferred</x:v>
      </x:c>
      <x:c r="I19" s="3" t="str">
        <x:v>production</x:v>
      </x:c>
      <x:c r="J19" s="3" t="str">
        <x:v>838574747</x:v>
      </x:c>
      <x:c r="K19" s="3" t="str">
        <x:v>838573141</x:v>
      </x:c>
      <x:c r="L19" s="8" t="n">
        <x:v>46278.047164351854</x:v>
      </x:c>
      <x:c r="M19" s="9" t="n">
        <x:v>0.0675</x:v>
      </x:c>
      <x:c r="N19" s="9" t="n">
        <x:v>0.0682</x:v>
      </x:c>
      <x:c r="O19" s="9" t="n">
        <x:v>444.4</x:v>
      </x:c>
      <x:c r="P19" s="10" t="n">
        <x:v>656</x:v>
      </x:c>
      <x:c r="Q19" s="10" t="n">
        <x:v>657</x:v>
      </x:c>
      <x:c r="R19" s="4" t="b">
        <x:v>0</x:v>
      </x:c>
      <x:c r="S19" s="4" t="b">
        <x:v>1</x:v>
      </x:c>
      <x:c r="T19" s="4" t="b">
        <x:v>0</x:v>
      </x:c>
      <x:c r="U19" s="4" t="b">
        <x:v>1</x:v>
      </x:c>
      <x:c r="V19" s="4" t="b">
        <x:v>1</x:v>
      </x:c>
      <x:c r="W19" s="4" t="b">
        <x:v>1</x:v>
      </x:c>
      <x:c r="X19" s="4" t="b">
        <x:v>1</x:v>
      </x:c>
    </x:row>
    <x:row r="20" ht="21" customHeight="1">
      <x:c r="A20" s="8" t="n">
        <x:v>46278.054398148146</x:v>
      </x:c>
      <x:c r="B20" s="3" t="str">
        <x:v>SOLUSDT</x:v>
      </x:c>
      <x:c r="C20" s="3" t="str">
        <x:v>dashboard manual sell</x:v>
      </x:c>
      <x:c r="D20" s="9" t="n">
        <x:v>-0.59058</x:v>
      </x:c>
      <x:c r="E20" s="3"/>
      <x:c r="F20" s="3" t="str">
        <x:v>gross only; actual fees not recorded</x:v>
      </x:c>
      <x:c r="G20" s="9" t="n">
        <x:v>1481.3</x:v>
      </x:c>
      <x:c r="H20" s="3" t="str">
        <x:v>Latest preceding buy; inferred</x:v>
      </x:c>
      <x:c r="I20" s="3" t="str">
        <x:v>production</x:v>
      </x:c>
      <x:c r="J20" s="3" t="str">
        <x:v>17792297986</x:v>
      </x:c>
      <x:c r="K20" s="3" t="str">
        <x:v>17789739265</x:v>
      </x:c>
      <x:c r="L20" s="8" t="n">
        <x:v>46277.025717592594</x:v>
      </x:c>
      <x:c r="M20" s="9" t="n">
        <x:v>102.71</x:v>
      </x:c>
      <x:c r="N20" s="9" t="n">
        <x:v>101.69</x:v>
      </x:c>
      <x:c r="O20" s="9" t="n">
        <x:v>0.579</x:v>
      </x:c>
      <x:c r="P20" s="10" t="n">
        <x:v>636</x:v>
      </x:c>
      <x:c r="Q20" s="10" t="n">
        <x:v>658</x:v>
      </x:c>
      <x:c r="R20" s="4" t="b">
        <x:v>0</x:v>
      </x:c>
      <x:c r="S20" s="4" t="b">
        <x:v>1</x:v>
      </x:c>
      <x:c r="T20" s="4" t="b">
        <x:v>0</x:v>
      </x:c>
      <x:c r="U20" s="4" t="b">
        <x:v>1</x:v>
      </x:c>
      <x:c r="V20" s="4" t="b">
        <x:v>1</x:v>
      </x:c>
      <x:c r="W20" s="4" t="b">
        <x:v>0</x:v>
      </x:c>
      <x:c r="X20" s="4" t="b">
        <x:v>1</x:v>
      </x:c>
    </x:row>
    <x:row r="21" ht="21" customHeight="1">
      <x:c r="A21" s="8" t="n">
        <x:v>46278.062581018516</x:v>
      </x:c>
      <x:c r="B21" s="3" t="str">
        <x:v>ETHUSDT</x:v>
      </x:c>
      <x:c r="C21" s="3" t="str">
        <x:v>stop loss</x:v>
      </x:c>
      <x:c r="D21" s="9" t="n">
        <x:v>-0.040685</x:v>
      </x:c>
      <x:c r="E21" s="3"/>
      <x:c r="F21" s="3" t="str">
        <x:v>gross only; actual fees not recorded</x:v>
      </x:c>
      <x:c r="G21" s="9" t="n">
        <x:v>74.91666666666667</x:v>
      </x:c>
      <x:c r="H21" s="3" t="str">
        <x:v>Latest preceding buy; inferred</x:v>
      </x:c>
      <x:c r="I21" s="3" t="str">
        <x:v>production</x:v>
      </x:c>
      <x:c r="J21" s="3" t="str">
        <x:v>49776562160</x:v>
      </x:c>
      <x:c r="K21" s="3" t="str">
        <x:v>49776195771</x:v>
      </x:c>
      <x:c r="L21" s="8" t="n">
        <x:v>46278.01055555556</x:v>
      </x:c>
      <x:c r="M21" s="9" t="n">
        <x:v>2525.98</x:v>
      </x:c>
      <x:c r="N21" s="9" t="n">
        <x:v>2520.83</x:v>
      </x:c>
      <x:c r="O21" s="9" t="n">
        <x:v>0.0079</x:v>
      </x:c>
      <x:c r="P21" s="10" t="n">
        <x:v>651</x:v>
      </x:c>
      <x:c r="Q21" s="10" t="n">
        <x:v>661</x:v>
      </x:c>
      <x:c r="R21" s="4" t="b">
        <x:v>0</x:v>
      </x:c>
      <x:c r="S21" s="4" t="b">
        <x:v>0</x:v>
      </x:c>
      <x:c r="T21" s="4" t="b">
        <x:v>1</x:v>
      </x:c>
      <x:c r="U21" s="4" t="b">
        <x:v>1</x:v>
      </x:c>
      <x:c r="V21" s="4" t="b">
        <x:v>1</x:v>
      </x:c>
      <x:c r="W21" s="4" t="b">
        <x:v>1</x:v>
      </x:c>
      <x:c r="X21" s="4" t="b">
        <x:v>1</x:v>
      </x:c>
    </x:row>
    <x:row r="22" ht="21" customHeight="1">
      <x:c r="A22" s="8" t="n">
        <x:v>46278.062685185185</x:v>
      </x:c>
      <x:c r="B22" s="3" t="str">
        <x:v>LINKUSDT</x:v>
      </x:c>
      <x:c r="C22" s="3" t="str">
        <x:v>stop loss</x:v>
      </x:c>
      <x:c r="D22" s="9" t="n">
        <x:v>-0.104</x:v>
      </x:c>
      <x:c r="E22" s="3"/>
      <x:c r="F22" s="3" t="str">
        <x:v>gross only; actual fees not recorded</x:v>
      </x:c>
      <x:c r="G22" s="9" t="n">
        <x:v>44.85</x:v>
      </x:c>
      <x:c r="H22" s="3" t="str">
        <x:v>Latest preceding buy; inferred</x:v>
      </x:c>
      <x:c r="I22" s="3" t="str">
        <x:v>production</x:v>
      </x:c>
      <x:c r="J22" s="3" t="str">
        <x:v>8008468034</x:v>
      </x:c>
      <x:c r="K22" s="3" t="str">
        <x:v>8008437684</x:v>
      </x:c>
      <x:c r="L22" s="8" t="n">
        <x:v>46278.031539351854</x:v>
      </x:c>
      <x:c r="M22" s="9" t="n">
        <x:v>11.526</x:v>
      </x:c>
      <x:c r="N22" s="9" t="n">
        <x:v>11.486</x:v>
      </x:c>
      <x:c r="O22" s="9" t="n">
        <x:v>2.6</x:v>
      </x:c>
      <x:c r="P22" s="10" t="n">
        <x:v>653</x:v>
      </x:c>
      <x:c r="Q22" s="10" t="n">
        <x:v>662</x:v>
      </x:c>
      <x:c r="R22" s="4" t="b">
        <x:v>0</x:v>
      </x:c>
      <x:c r="S22" s="4" t="b">
        <x:v>0</x:v>
      </x:c>
      <x:c r="T22" s="4" t="b">
        <x:v>1</x:v>
      </x:c>
      <x:c r="U22" s="4" t="b">
        <x:v>1</x:v>
      </x:c>
      <x:c r="V22" s="4" t="b">
        <x:v>1</x:v>
      </x:c>
      <x:c r="W22" s="4" t="b">
        <x:v>1</x:v>
      </x:c>
      <x:c r="X22" s="4" t="b">
        <x:v>1</x:v>
      </x:c>
    </x:row>
    <x:row r="23" ht="21" customHeight="1">
      <x:c r="A23" s="8" t="n">
        <x:v>46278.066030092596</x:v>
      </x:c>
      <x:c r="B23" s="3" t="str">
        <x:v>ADAUSDT</x:v>
      </x:c>
      <x:c r="C23" s="3" t="str">
        <x:v>stop loss</x:v>
      </x:c>
      <x:c r="D23" s="9" t="n">
        <x:v>-0.06748</x:v>
      </x:c>
      <x:c r="E23" s="3"/>
      <x:c r="F23" s="3" t="str">
        <x:v>gross only; actual fees not recorded</x:v>
      </x:c>
      <x:c r="G23" s="9" t="n">
        <x:v>8.5</x:v>
      </x:c>
      <x:c r="H23" s="3" t="str">
        <x:v>Latest preceding buy; inferred</x:v>
      </x:c>
      <x:c r="I23" s="3" t="str">
        <x:v>production</x:v>
      </x:c>
      <x:c r="J23" s="3" t="str">
        <x:v>8786107935</x:v>
      </x:c>
      <x:c r="K23" s="3" t="str">
        <x:v>8786104720</x:v>
      </x:c>
      <x:c r="L23" s="8" t="n">
        <x:v>46278.06012731481</x:v>
      </x:c>
      <x:c r="M23" s="9" t="n">
        <x:v>0.2073</x:v>
      </x:c>
      <x:c r="N23" s="9" t="n">
        <x:v>0.2066</x:v>
      </x:c>
      <x:c r="O23" s="9" t="n">
        <x:v>96.4</x:v>
      </x:c>
      <x:c r="P23" s="10" t="n">
        <x:v>660</x:v>
      </x:c>
      <x:c r="Q23" s="10" t="n">
        <x:v>663</x:v>
      </x:c>
      <x:c r="R23" s="4" t="b">
        <x:v>0</x:v>
      </x:c>
      <x:c r="S23" s="4" t="b">
        <x:v>1</x:v>
      </x:c>
      <x:c r="T23" s="4" t="b">
        <x:v>1</x:v>
      </x:c>
      <x:c r="U23" s="4" t="b">
        <x:v>0</x:v>
      </x:c>
      <x:c r="V23" s="4" t="b">
        <x:v>1</x:v>
      </x:c>
      <x:c r="W23" s="4" t="b">
        <x:v>1</x:v>
      </x:c>
      <x:c r="X23" s="4" t="b">
        <x:v>0</x:v>
      </x:c>
    </x:row>
    <x:row r="24" ht="21" customHeight="1">
      <x:c r="A24" s="8" t="n">
        <x:v>46278.08708333333</x:v>
      </x:c>
      <x:c r="B24" s="3" t="str">
        <x:v>HOLOUSDT</x:v>
      </x:c>
      <x:c r="C24" s="3" t="str">
        <x:v>stop loss</x:v>
      </x:c>
      <x:c r="D24" s="9" t="n">
        <x:v>-0.33383</x:v>
      </x:c>
      <x:c r="E24" s="3"/>
      <x:c r="F24" s="3" t="str">
        <x:v>gross only; actual fees not recorded</x:v>
      </x:c>
      <x:c r="G24" s="9" t="n">
        <x:v>45.46666666666667</x:v>
      </x:c>
      <x:c r="H24" s="3" t="str">
        <x:v>Latest preceding buy; inferred</x:v>
      </x:c>
      <x:c r="I24" s="3" t="str">
        <x:v>production</x:v>
      </x:c>
      <x:c r="J24" s="3" t="str">
        <x:v>168141298</x:v>
      </x:c>
      <x:c r="K24" s="3" t="str">
        <x:v>168134471</x:v>
      </x:c>
      <x:c r="L24" s="8" t="n">
        <x:v>46278.05550925926</x:v>
      </x:c>
      <x:c r="M24" s="9" t="n">
        <x:v>0.0629</x:v>
      </x:c>
      <x:c r="N24" s="9" t="n">
        <x:v>0.0622</x:v>
      </x:c>
      <x:c r="O24" s="9" t="n">
        <x:v>476.9</x:v>
      </x:c>
      <x:c r="P24" s="10" t="n">
        <x:v>659</x:v>
      </x:c>
      <x:c r="Q24" s="10" t="n">
        <x:v>668</x:v>
      </x:c>
      <x:c r="R24" s="4" t="b">
        <x:v>0</x:v>
      </x:c>
      <x:c r="S24" s="4" t="b">
        <x:v>0</x:v>
      </x:c>
      <x:c r="T24" s="4" t="b">
        <x:v>1</x:v>
      </x:c>
      <x:c r="U24" s="4" t="b">
        <x:v>1</x:v>
      </x:c>
      <x:c r="V24" s="4" t="b">
        <x:v>1</x:v>
      </x:c>
      <x:c r="W24" s="4" t="b">
        <x:v>1</x:v>
      </x:c>
      <x:c r="X24" s="4" t="b">
        <x:v>1</x:v>
      </x:c>
    </x:row>
    <x:row r="25" ht="21" customHeight="1">
      <x:c r="A25" s="8" t="n">
        <x:v>46278.094930555555</x:v>
      </x:c>
      <x:c r="B25" s="3" t="str">
        <x:v>RAYUSDT</x:v>
      </x:c>
      <x:c r="C25" s="3" t="str">
        <x:v>take profit</x:v>
      </x:c>
      <x:c r="D25" s="9" t="n">
        <x:v>0.32702</x:v>
      </x:c>
      <x:c r="E25" s="3"/>
      <x:c r="F25" s="3" t="str">
        <x:v>gross only; actual fees not recorded</x:v>
      </x:c>
      <x:c r="G25" s="9" t="n">
        <x:v>21.166666666666668</x:v>
      </x:c>
      <x:c r="H25" s="3" t="str">
        <x:v>Latest preceding buy; inferred</x:v>
      </x:c>
      <x:c r="I25" s="3" t="str">
        <x:v>production</x:v>
      </x:c>
      <x:c r="J25" s="3" t="str">
        <x:v>1381271913</x:v>
      </x:c>
      <x:c r="K25" s="3" t="str">
        <x:v>1381245018</x:v>
      </x:c>
      <x:c r="L25" s="8" t="n">
        <x:v>46278.08023148148</x:v>
      </x:c>
      <x:c r="M25" s="9" t="n">
        <x:v>1.5228</x:v>
      </x:c>
      <x:c r="N25" s="9" t="n">
        <x:v>1.5394</x:v>
      </x:c>
      <x:c r="O25" s="9" t="n">
        <x:v>19.7</x:v>
      </x:c>
      <x:c r="P25" s="10" t="n">
        <x:v>667</x:v>
      </x:c>
      <x:c r="Q25" s="10" t="n">
        <x:v>670</x:v>
      </x:c>
      <x:c r="R25" s="4" t="b">
        <x:v>0</x:v>
      </x:c>
      <x:c r="S25" s="4" t="b">
        <x:v>0</x:v>
      </x:c>
      <x:c r="T25" s="4" t="b">
        <x:v>1</x:v>
      </x:c>
      <x:c r="U25" s="4" t="b">
        <x:v>1</x:v>
      </x:c>
      <x:c r="V25" s="4" t="b">
        <x:v>1</x:v>
      </x:c>
      <x:c r="W25" s="4" t="b">
        <x:v>1</x:v>
      </x:c>
      <x:c r="X25" s="4" t="b">
        <x:v>1</x:v>
      </x:c>
    </x:row>
    <x:row r="26" ht="21" customHeight="1">
      <x:c r="A26" s="8" t="n">
        <x:v>46278.09578703704</x:v>
      </x:c>
      <x:c r="B26" s="3" t="str">
        <x:v>PEPEUSDT</x:v>
      </x:c>
      <x:c r="C26" s="3" t="str">
        <x:v>dashboard manual sell</x:v>
      </x:c>
      <x:c r="D26" s="9" t="n">
        <x:v>0</x:v>
      </x:c>
      <x:c r="E26" s="3"/>
      <x:c r="F26" s="3" t="str">
        <x:v>gross only; actual fees not recorded</x:v>
      </x:c>
      <x:c r="G26" s="9" t="n">
        <x:v>122.75</x:v>
      </x:c>
      <x:c r="H26" s="3" t="str">
        <x:v>Latest preceding buy; inferred</x:v>
      </x:c>
      <x:c r="I26" s="3" t="str">
        <x:v>production</x:v>
      </x:c>
      <x:c r="J26" s="3" t="str">
        <x:v>5415367140</x:v>
      </x:c>
      <x:c r="K26" s="3" t="str">
        <x:v>5415337392</x:v>
      </x:c>
      <x:c r="L26" s="8" t="n">
        <x:v>46278.01054398148</x:v>
      </x:c>
      <x:c r="M26" s="9" t="n">
        <x:v>0.00000342</x:v>
      </x:c>
      <x:c r="N26" s="9" t="n">
        <x:v>0.00000342</x:v>
      </x:c>
      <x:c r="O26" s="9" t="n">
        <x:v>5842105</x:v>
      </x:c>
      <x:c r="P26" s="10" t="n">
        <x:v>650</x:v>
      </x:c>
      <x:c r="Q26" s="10" t="n">
        <x:v>671</x:v>
      </x:c>
      <x:c r="R26" s="4" t="b">
        <x:v>0</x:v>
      </x:c>
      <x:c r="S26" s="4" t="b">
        <x:v>0</x:v>
      </x:c>
      <x:c r="T26" s="4" t="b">
        <x:v>1</x:v>
      </x:c>
      <x:c r="U26" s="4" t="b">
        <x:v>1</x:v>
      </x:c>
      <x:c r="V26" s="4" t="b">
        <x:v>1</x:v>
      </x:c>
      <x:c r="W26" s="4" t="b">
        <x:v>1</x:v>
      </x:c>
      <x:c r="X26" s="4" t="b">
        <x:v>1</x:v>
      </x:c>
    </x:row>
    <x:row r="27" ht="21" customHeight="1">
      <x:c r="A27" s="8" t="n">
        <x:v>46278.115219907406</x:v>
      </x:c>
      <x:c r="B27" s="3" t="str">
        <x:v>XRPUSDT</x:v>
      </x:c>
      <x:c r="C27" s="3" t="str">
        <x:v>dashboard manual sell</x:v>
      </x:c>
      <x:c r="D27" s="9" t="n">
        <x:v>0.1168</x:v>
      </x:c>
      <x:c r="E27" s="3"/>
      <x:c r="F27" s="3" t="str">
        <x:v>gross only; actual fees not recorded</x:v>
      </x:c>
      <x:c r="G27" s="9" t="n">
        <x:v>63.95</x:v>
      </x:c>
      <x:c r="H27" s="3" t="str">
        <x:v>Multiple buys; latest entry shown</x:v>
      </x:c>
      <x:c r="I27" s="3" t="str">
        <x:v>production</x:v>
      </x:c>
      <x:c r="J27" s="3" t="str">
        <x:v>15428988625</x:v>
      </x:c>
      <x:c r="K27" s="3" t="str">
        <x:v>15428908960</x:v>
      </x:c>
      <x:c r="L27" s="8" t="n">
        <x:v>46278.070810185185</x:v>
      </x:c>
      <x:c r="M27" s="9" t="n">
        <x:v>1.3628</x:v>
      </x:c>
      <x:c r="N27" s="9" t="n">
        <x:v>1.3668</x:v>
      </x:c>
      <x:c r="O27" s="9" t="n">
        <x:v>29.2</x:v>
      </x:c>
      <x:c r="P27" s="10" t="n">
        <x:v>666</x:v>
      </x:c>
      <x:c r="Q27" s="10" t="n">
        <x:v>674</x:v>
      </x:c>
      <x:c r="R27" s="4" t="b">
        <x:v>0</x:v>
      </x:c>
      <x:c r="S27" s="4" t="b">
        <x:v>1</x:v>
      </x:c>
      <x:c r="T27" s="4" t="b">
        <x:v>1</x:v>
      </x:c>
      <x:c r="U27" s="4" t="b">
        <x:v>0</x:v>
      </x:c>
      <x:c r="V27" s="4" t="b">
        <x:v>1</x:v>
      </x:c>
      <x:c r="W27" s="4" t="b">
        <x:v>1</x:v>
      </x:c>
      <x:c r="X27" s="4" t="b">
        <x:v>0</x:v>
      </x:c>
    </x:row>
    <x:row r="28" ht="21" customHeight="1">
      <x:c r="A28" s="8" t="n">
        <x:v>46278.12520833333</x:v>
      </x:c>
      <x:c r="B28" s="3" t="str">
        <x:v>UNIUSDT</x:v>
      </x:c>
      <x:c r="C28" s="3" t="str">
        <x:v>RSI sell signal</x:v>
      </x:c>
      <x:c r="D28" s="9" t="n">
        <x:v>0.08505</x:v>
      </x:c>
      <x:c r="E28" s="3"/>
      <x:c r="F28" s="3" t="str">
        <x:v>gross only; actual fees not recorded</x:v>
      </x:c>
      <x:c r="G28" s="9" t="n">
        <x:v>80.81666666666666</x:v>
      </x:c>
      <x:c r="H28" s="3" t="str">
        <x:v>Latest preceding buy; inferred</x:v>
      </x:c>
      <x:c r="I28" s="3" t="str">
        <x:v>production</x:v>
      </x:c>
      <x:c r="J28" s="3" t="str">
        <x:v>5334574530</x:v>
      </x:c>
      <x:c r="K28" s="3" t="str">
        <x:v>5334521117</x:v>
      </x:c>
      <x:c r="L28" s="8" t="n">
        <x:v>46278.069085648145</x:v>
      </x:c>
      <x:c r="M28" s="9" t="n">
        <x:v>6.344</x:v>
      </x:c>
      <x:c r="N28" s="9" t="n">
        <x:v>6.371</x:v>
      </x:c>
      <x:c r="O28" s="9" t="n">
        <x:v>3.15</x:v>
      </x:c>
      <x:c r="P28" s="10" t="n">
        <x:v>664</x:v>
      </x:c>
      <x:c r="Q28" s="10" t="n">
        <x:v>675</x:v>
      </x:c>
      <x:c r="R28" s="4" t="b">
        <x:v>0</x:v>
      </x:c>
      <x:c r="S28" s="4" t="b">
        <x:v>0</x:v>
      </x:c>
      <x:c r="T28" s="4" t="b">
        <x:v>1</x:v>
      </x:c>
      <x:c r="U28" s="4" t="b">
        <x:v>0</x:v>
      </x:c>
      <x:c r="V28" s="4" t="b">
        <x:v>1</x:v>
      </x:c>
      <x:c r="W28" s="4" t="b">
        <x:v>1</x:v>
      </x:c>
      <x:c r="X28" s="4" t="b">
        <x:v>1</x:v>
      </x:c>
    </x:row>
    <x:row r="29" ht="21" customHeight="1">
      <x:c r="A29" s="8" t="n">
        <x:v>46278.131006944444</x:v>
      </x:c>
      <x:c r="B29" s="3" t="str">
        <x:v>ADAUSDT</x:v>
      </x:c>
      <x:c r="C29" s="3" t="str">
        <x:v>take profit</x:v>
      </x:c>
      <x:c r="D29" s="9" t="n">
        <x:v>0.10129</x:v>
      </x:c>
      <x:c r="E29" s="3"/>
      <x:c r="F29" s="3" t="str">
        <x:v>gross only; actual fees not recorded</x:v>
      </x:c>
      <x:c r="G29" s="9" t="n">
        <x:v>28.583333333333332</x:v>
      </x:c>
      <x:c r="H29" s="3" t="str">
        <x:v>Latest preceding buy; inferred</x:v>
      </x:c>
      <x:c r="I29" s="3" t="str">
        <x:v>production</x:v>
      </x:c>
      <x:c r="J29" s="3" t="str">
        <x:v>8786126131</x:v>
      </x:c>
      <x:c r="K29" s="3" t="str">
        <x:v>8786120213</x:v>
      </x:c>
      <x:c r="L29" s="8" t="n">
        <x:v>46278.11115740741</x:v>
      </x:c>
      <x:c r="M29" s="9" t="n">
        <x:v>0.2072</x:v>
      </x:c>
      <x:c r="N29" s="9" t="n">
        <x:v>0.2079</x:v>
      </x:c>
      <x:c r="O29" s="9" t="n">
        <x:v>144.7</x:v>
      </x:c>
      <x:c r="P29" s="10" t="n">
        <x:v>672</x:v>
      </x:c>
      <x:c r="Q29" s="10" t="n">
        <x:v>676</x:v>
      </x:c>
      <x:c r="R29" s="4" t="b">
        <x:v>0</x:v>
      </x:c>
      <x:c r="S29" s="4" t="b">
        <x:v>0</x:v>
      </x:c>
      <x:c r="T29" s="4" t="b">
        <x:v>1</x:v>
      </x:c>
      <x:c r="U29" s="4" t="b">
        <x:v>1</x:v>
      </x:c>
      <x:c r="V29" s="4" t="b">
        <x:v>1</x:v>
      </x:c>
      <x:c r="W29" s="4" t="b">
        <x:v>1</x:v>
      </x:c>
      <x:c r="X29" s="4" t="b">
        <x:v>1</x:v>
      </x:c>
    </x:row>
    <x:row r="30" ht="21" customHeight="1">
      <x:c r="A30" s="8" t="n">
        <x:v>46278.13209490741</x:v>
      </x:c>
      <x:c r="B30" s="3" t="str">
        <x:v>SUIUSDT</x:v>
      </x:c>
      <x:c r="C30" s="3" t="str">
        <x:v>RSI sell signal</x:v>
      </x:c>
      <x:c r="D30" s="9" t="n">
        <x:v>0.0828</x:v>
      </x:c>
      <x:c r="E30" s="3"/>
      <x:c r="F30" s="3" t="str">
        <x:v>gross only; actual fees not recorded</x:v>
      </x:c>
      <x:c r="G30" s="9" t="n">
        <x:v>280.85</x:v>
      </x:c>
      <x:c r="H30" s="3" t="str">
        <x:v>Latest preceding buy; inferred</x:v>
      </x:c>
      <x:c r="I30" s="3" t="str">
        <x:v>production</x:v>
      </x:c>
      <x:c r="J30" s="3" t="str">
        <x:v>8848930251</x:v>
      </x:c>
      <x:c r="K30" s="3" t="str">
        <x:v>8848703924</x:v>
      </x:c>
      <x:c r="L30" s="8" t="n">
        <x:v>46277.937060185184</x:v>
      </x:c>
      <x:c r="M30" s="9" t="n">
        <x:v>0.7225</x:v>
      </x:c>
      <x:c r="N30" s="9" t="n">
        <x:v>0.7255</x:v>
      </x:c>
      <x:c r="O30" s="9" t="n">
        <x:v>27.6</x:v>
      </x:c>
      <x:c r="P30" s="10" t="n">
        <x:v>646</x:v>
      </x:c>
      <x:c r="Q30" s="10" t="n">
        <x:v>677</x:v>
      </x:c>
      <x:c r="R30" s="4" t="b">
        <x:v>0</x:v>
      </x:c>
      <x:c r="S30" s="4" t="b">
        <x:v>0</x:v>
      </x:c>
      <x:c r="T30" s="4" t="b">
        <x:v>1</x:v>
      </x:c>
      <x:c r="U30" s="4" t="b">
        <x:v>0</x:v>
      </x:c>
      <x:c r="V30" s="4" t="b">
        <x:v>1</x:v>
      </x:c>
      <x:c r="W30" s="4" t="b">
        <x:v>1</x:v>
      </x:c>
      <x:c r="X30" s="4" t="b">
        <x:v>0</x:v>
      </x:c>
    </x:row>
    <x:row r="31" ht="21" customHeight="1">
      <x:c r="A31" s="8" t="n">
        <x:v>46278.15630787037</x:v>
      </x:c>
      <x:c r="B31" s="3" t="str">
        <x:v>ENAUSDT</x:v>
      </x:c>
      <x:c r="C31" s="3" t="str">
        <x:v>stop loss</x:v>
      </x:c>
      <x:c r="D31" s="9" t="n">
        <x:v>-0.105485</x:v>
      </x:c>
      <x:c r="E31" s="3"/>
      <x:c r="F31" s="3" t="str">
        <x:v>gross only; actual fees not recorded</x:v>
      </x:c>
      <x:c r="G31" s="9" t="n">
        <x:v>59.88333333333333</x:v>
      </x:c>
      <x:c r="H31" s="3" t="str">
        <x:v>Latest preceding buy; inferred</x:v>
      </x:c>
      <x:c r="I31" s="3" t="str">
        <x:v>production</x:v>
      </x:c>
      <x:c r="J31" s="3" t="str">
        <x:v>3402279071</x:v>
      </x:c>
      <x:c r="K31" s="3" t="str">
        <x:v>3402264202</x:v>
      </x:c>
      <x:c r="L31" s="8" t="n">
        <x:v>46278.11472222222</x:v>
      </x:c>
      <x:c r="M31" s="9" t="n">
        <x:v>0.1422</x:v>
      </x:c>
      <x:c r="N31" s="9" t="n">
        <x:v>0.1417</x:v>
      </x:c>
      <x:c r="O31" s="9" t="n">
        <x:v>210.97</x:v>
      </x:c>
      <x:c r="P31" s="10" t="n">
        <x:v>673</x:v>
      </x:c>
      <x:c r="Q31" s="10" t="n">
        <x:v>680</x:v>
      </x:c>
      <x:c r="R31" s="4" t="b">
        <x:v>0</x:v>
      </x:c>
      <x:c r="S31" s="4" t="b">
        <x:v>0</x:v>
      </x:c>
      <x:c r="T31" s="4" t="b">
        <x:v>1</x:v>
      </x:c>
      <x:c r="U31" s="4" t="b">
        <x:v>1</x:v>
      </x:c>
      <x:c r="V31" s="4" t="b">
        <x:v>1</x:v>
      </x:c>
      <x:c r="W31" s="4" t="b">
        <x:v>1</x:v>
      </x:c>
      <x:c r="X31" s="4" t="b">
        <x:v>1</x:v>
      </x:c>
    </x:row>
    <x:row r="32" ht="21" customHeight="1">
      <x:c r="A32" s="8" t="n">
        <x:v>46278.177199074074</x:v>
      </x:c>
      <x:c r="B32" s="3" t="str">
        <x:v>WLDUSDT</x:v>
      </x:c>
      <x:c r="C32" s="3" t="str">
        <x:v>stop loss</x:v>
      </x:c>
      <x:c r="D32" s="9" t="n">
        <x:v>-0.17227</x:v>
      </x:c>
      <x:c r="E32" s="3"/>
      <x:c r="F32" s="3" t="str">
        <x:v>gross only; actual fees not recorded</x:v>
      </x:c>
      <x:c r="G32" s="9" t="n">
        <x:v>59.916666666666664</x:v>
      </x:c>
      <x:c r="H32" s="3" t="str">
        <x:v>Latest preceding buy; inferred</x:v>
      </x:c>
      <x:c r="I32" s="3" t="str">
        <x:v>production</x:v>
      </x:c>
      <x:c r="J32" s="3" t="str">
        <x:v>4151683756</x:v>
      </x:c>
      <x:c r="K32" s="3" t="str">
        <x:v>4151656854</x:v>
      </x:c>
      <x:c r="L32" s="8" t="n">
        <x:v>46278.13559027778</x:v>
      </x:c>
      <x:c r="M32" s="9" t="n">
        <x:v>0.4005</x:v>
      </x:c>
      <x:c r="N32" s="9" t="n">
        <x:v>0.3982</x:v>
      </x:c>
      <x:c r="O32" s="9" t="n">
        <x:v>74.9</x:v>
      </x:c>
      <x:c r="P32" s="10" t="n">
        <x:v>678</x:v>
      </x:c>
      <x:c r="Q32" s="10" t="n">
        <x:v>683</x:v>
      </x:c>
      <x:c r="R32" s="4" t="b">
        <x:v>0</x:v>
      </x:c>
      <x:c r="S32" s="4" t="b">
        <x:v>0</x:v>
      </x:c>
      <x:c r="T32" s="4" t="b">
        <x:v>1</x:v>
      </x:c>
      <x:c r="U32" s="4" t="b">
        <x:v>1</x:v>
      </x:c>
      <x:c r="V32" s="4" t="b">
        <x:v>1</x:v>
      </x:c>
      <x:c r="W32" s="4" t="b">
        <x:v>1</x:v>
      </x:c>
      <x:c r="X32" s="4" t="b">
        <x:v>1</x:v>
      </x:c>
    </x:row>
    <x:row r="33" ht="21" customHeight="1">
      <x:c r="A33" s="8" t="n">
        <x:v>46278.181863425925</x:v>
      </x:c>
      <x:c r="B33" s="3" t="str">
        <x:v>ZECUSDT</x:v>
      </x:c>
      <x:c r="C33" s="3" t="str">
        <x:v>take profit</x:v>
      </x:c>
      <x:c r="D33" s="9" t="n">
        <x:v>0.22256</x:v>
      </x:c>
      <x:c r="E33" s="3"/>
      <x:c r="F33" s="3" t="str">
        <x:v>gross only; actual fees not recorded</x:v>
      </x:c>
      <x:c r="G33" s="9" t="n">
        <x:v>136.08333333333334</x:v>
      </x:c>
      <x:c r="H33" s="3" t="str">
        <x:v>Latest preceding buy; inferred</x:v>
      </x:c>
      <x:c r="I33" s="3" t="str">
        <x:v>production</x:v>
      </x:c>
      <x:c r="J33" s="3" t="str">
        <x:v>6086904966</x:v>
      </x:c>
      <x:c r="K33" s="3" t="str">
        <x:v>6086337595</x:v>
      </x:c>
      <x:c r="L33" s="8" t="n">
        <x:v>46278.08736111111</x:v>
      </x:c>
      <x:c r="M33" s="9" t="n">
        <x:v>1124.69</x:v>
      </x:c>
      <x:c r="N33" s="9" t="n">
        <x:v>1133.25</x:v>
      </x:c>
      <x:c r="O33" s="9" t="n">
        <x:v>0.026</x:v>
      </x:c>
      <x:c r="P33" s="10" t="n">
        <x:v>669</x:v>
      </x:c>
      <x:c r="Q33" s="10" t="n">
        <x:v>684</x:v>
      </x:c>
      <x:c r="R33" s="4" t="b">
        <x:v>0</x:v>
      </x:c>
      <x:c r="S33" s="4" t="b">
        <x:v>0</x:v>
      </x:c>
      <x:c r="T33" s="4" t="b">
        <x:v>1</x:v>
      </x:c>
      <x:c r="U33" s="4" t="b">
        <x:v>1</x:v>
      </x:c>
      <x:c r="V33" s="4" t="b">
        <x:v>1</x:v>
      </x:c>
      <x:c r="W33" s="4" t="b">
        <x:v>1</x:v>
      </x:c>
      <x:c r="X33" s="4" t="b">
        <x:v>1</x:v>
      </x:c>
    </x:row>
    <x:row r="34" ht="21" customHeight="1">
      <x:c r="A34" s="8" t="n">
        <x:v>46278.19101851852</x:v>
      </x:c>
      <x:c r="B34" s="3" t="str">
        <x:v>ADAUSDT</x:v>
      </x:c>
      <x:c r="C34" s="3" t="str">
        <x:v>stop loss</x:v>
      </x:c>
      <x:c r="D34" s="9" t="n">
        <x:v>-0.10101</x:v>
      </x:c>
      <x:c r="E34" s="3"/>
      <x:c r="F34" s="3" t="str">
        <x:v>gross only; actual fees not recorded</x:v>
      </x:c>
      <x:c r="G34" s="9" t="n">
        <x:v>49.9</x:v>
      </x:c>
      <x:c r="H34" s="3" t="str">
        <x:v>Latest preceding buy; inferred</x:v>
      </x:c>
      <x:c r="I34" s="3" t="str">
        <x:v>production</x:v>
      </x:c>
      <x:c r="J34" s="3" t="str">
        <x:v>8786154006</x:v>
      </x:c>
      <x:c r="K34" s="3" t="str">
        <x:v>8786136563</x:v>
      </x:c>
      <x:c r="L34" s="8" t="n">
        <x:v>46278.15636574074</x:v>
      </x:c>
      <x:c r="M34" s="9" t="n">
        <x:v>0.2079</x:v>
      </x:c>
      <x:c r="N34" s="9" t="n">
        <x:v>0.2072</x:v>
      </x:c>
      <x:c r="O34" s="9" t="n">
        <x:v>144.3</x:v>
      </x:c>
      <x:c r="P34" s="10" t="n">
        <x:v>681</x:v>
      </x:c>
      <x:c r="Q34" s="10" t="n">
        <x:v>685</x:v>
      </x:c>
      <x:c r="R34" s="4" t="b">
        <x:v>0</x:v>
      </x:c>
      <x:c r="S34" s="4" t="b">
        <x:v>0</x:v>
      </x:c>
      <x:c r="T34" s="4" t="b">
        <x:v>1</x:v>
      </x:c>
      <x:c r="U34" s="4" t="b">
        <x:v>1</x:v>
      </x:c>
      <x:c r="V34" s="4" t="b">
        <x:v>1</x:v>
      </x:c>
      <x:c r="W34" s="4" t="b">
        <x:v>1</x:v>
      </x:c>
      <x:c r="X34" s="4" t="b">
        <x:v>1</x:v>
      </x:c>
    </x:row>
    <x:row r="35" ht="21" customHeight="1">
      <x:c r="A35" s="8" t="n">
        <x:v>46278.19819444444</x:v>
      </x:c>
      <x:c r="B35" s="3" t="str">
        <x:v>PEPEUSDT</x:v>
      </x:c>
      <x:c r="C35" s="3" t="str">
        <x:v>RSI sell signal</x:v>
      </x:c>
      <x:c r="D35" s="9" t="n">
        <x:v>0.08737609</x:v>
      </x:c>
      <x:c r="E35" s="3"/>
      <x:c r="F35" s="3" t="str">
        <x:v>gross only; actual fees not recorded</x:v>
      </x:c>
      <x:c r="G35" s="9" t="n">
        <x:v>35.28333333333333</x:v>
      </x:c>
      <x:c r="H35" s="3" t="str">
        <x:v>Latest preceding buy; inferred</x:v>
      </x:c>
      <x:c r="I35" s="3" t="str">
        <x:v>production</x:v>
      </x:c>
      <x:c r="J35" s="3" t="str">
        <x:v>5415402021</x:v>
      </x:c>
      <x:c r="K35" s="3" t="str">
        <x:v>5415390862</x:v>
      </x:c>
      <x:c r="L35" s="8" t="n">
        <x:v>46278.17369212963</x:v>
      </x:c>
      <x:c r="M35" s="9" t="n">
        <x:v>0.00000343</x:v>
      </x:c>
      <x:c r="N35" s="9" t="n">
        <x:v>0.00000344</x:v>
      </x:c>
      <x:c r="O35" s="9" t="n">
        <x:v>8737609</x:v>
      </x:c>
      <x:c r="P35" s="10" t="n">
        <x:v>682</x:v>
      </x:c>
      <x:c r="Q35" s="10" t="n">
        <x:v>688</x:v>
      </x:c>
      <x:c r="R35" s="4" t="b">
        <x:v>0</x:v>
      </x:c>
      <x:c r="S35" s="4" t="b">
        <x:v>0</x:v>
      </x:c>
      <x:c r="T35" s="4" t="b">
        <x:v>1</x:v>
      </x:c>
      <x:c r="U35" s="4" t="b">
        <x:v>1</x:v>
      </x:c>
      <x:c r="V35" s="4" t="b">
        <x:v>1</x:v>
      </x:c>
      <x:c r="W35" s="4" t="b">
        <x:v>1</x:v>
      </x:c>
      <x:c r="X35" s="4" t="b">
        <x:v>1</x:v>
      </x:c>
    </x:row>
    <x:row r="36" ht="21" customHeight="1">
      <x:c r="A36" s="8" t="n">
        <x:v>46278.208553240744</x:v>
      </x:c>
      <x:c r="B36" s="3" t="str">
        <x:v>HOLOUSDT</x:v>
      </x:c>
      <x:c r="C36" s="3" t="str">
        <x:v>RSI sell signal</x:v>
      </x:c>
      <x:c r="D36" s="9" t="n">
        <x:v>0.09508</x:v>
      </x:c>
      <x:c r="E36" s="3"/>
      <x:c r="F36" s="3" t="str">
        <x:v>gross only; actual fees not recorded</x:v>
      </x:c>
      <x:c r="G36" s="9" t="n">
        <x:v>20.216666666666665</x:v>
      </x:c>
      <x:c r="H36" s="3" t="str">
        <x:v>Latest preceding buy; inferred</x:v>
      </x:c>
      <x:c r="I36" s="3" t="str">
        <x:v>production</x:v>
      </x:c>
      <x:c r="J36" s="3" t="str">
        <x:v>168172401</x:v>
      </x:c>
      <x:c r="K36" s="3" t="str">
        <x:v>168169831</x:v>
      </x:c>
      <x:c r="L36" s="8" t="n">
        <x:v>46278.19451388889</x:v>
      </x:c>
      <x:c r="M36" s="9" t="n">
        <x:v>0.0631</x:v>
      </x:c>
      <x:c r="N36" s="9" t="n">
        <x:v>0.0633</x:v>
      </x:c>
      <x:c r="O36" s="9" t="n">
        <x:v>475.4</x:v>
      </x:c>
      <x:c r="P36" s="10" t="n">
        <x:v>687</x:v>
      </x:c>
      <x:c r="Q36" s="10" t="n">
        <x:v>691</x:v>
      </x:c>
      <x:c r="R36" s="4" t="b">
        <x:v>0</x:v>
      </x:c>
      <x:c r="S36" s="4" t="b">
        <x:v>0</x:v>
      </x:c>
      <x:c r="T36" s="4" t="b">
        <x:v>1</x:v>
      </x:c>
      <x:c r="U36" s="4" t="b">
        <x:v>1</x:v>
      </x:c>
      <x:c r="V36" s="4" t="b">
        <x:v>1</x:v>
      </x:c>
      <x:c r="W36" s="4" t="b">
        <x:v>1</x:v>
      </x:c>
      <x:c r="X36" s="4" t="b">
        <x:v>1</x:v>
      </x:c>
    </x:row>
    <x:row r="37" ht="21" customHeight="1">
      <x:c r="A37" s="8" t="n">
        <x:v>46278.23640046296</x:v>
      </x:c>
      <x:c r="B37" s="3" t="str">
        <x:v>NEARUSDT</x:v>
      </x:c>
      <x:c r="C37" s="3" t="str">
        <x:v>stop loss</x:v>
      </x:c>
      <x:c r="D37" s="9" t="n">
        <x:v>-0.1512</x:v>
      </x:c>
      <x:c r="E37" s="3"/>
      <x:c r="F37" s="3" t="str">
        <x:v>gross only; actual fees not recorded</x:v>
      </x:c>
      <x:c r="G37" s="9" t="n">
        <x:v>115.35</x:v>
      </x:c>
      <x:c r="H37" s="3" t="str">
        <x:v>Latest preceding buy; inferred</x:v>
      </x:c>
      <x:c r="I37" s="3" t="str">
        <x:v>production</x:v>
      </x:c>
      <x:c r="J37" s="3" t="str">
        <x:v>5124338289</x:v>
      </x:c>
      <x:c r="K37" s="3" t="str">
        <x:v>5124262966</x:v>
      </x:c>
      <x:c r="L37" s="8" t="n">
        <x:v>46278.1562962963</x:v>
      </x:c>
      <x:c r="M37" s="9" t="n">
        <x:v>2.368</x:v>
      </x:c>
      <x:c r="N37" s="9" t="n">
        <x:v>2.356</x:v>
      </x:c>
      <x:c r="O37" s="9" t="n">
        <x:v>12.6</x:v>
      </x:c>
      <x:c r="P37" s="10" t="n">
        <x:v>679</x:v>
      </x:c>
      <x:c r="Q37" s="10" t="n">
        <x:v>692</x:v>
      </x:c>
      <x:c r="R37" s="4" t="b">
        <x:v>0</x:v>
      </x:c>
      <x:c r="S37" s="4" t="b">
        <x:v>0</x:v>
      </x:c>
      <x:c r="T37" s="4" t="b">
        <x:v>1</x:v>
      </x:c>
      <x:c r="U37" s="4" t="b">
        <x:v>1</x:v>
      </x:c>
      <x:c r="V37" s="4" t="b">
        <x:v>1</x:v>
      </x:c>
      <x:c r="W37" s="4" t="b">
        <x:v>1</x:v>
      </x:c>
      <x:c r="X37" s="4" t="b">
        <x:v>1</x:v>
      </x:c>
    </x:row>
    <x:row r="38" ht="21" customHeight="1">
      <x:c r="A38" s="8" t="n">
        <x:v>46278.24350694445</x:v>
      </x:c>
      <x:c r="B38" s="3" t="str">
        <x:v>UNIUSDT</x:v>
      </x:c>
      <x:c r="C38" s="3" t="str">
        <x:v>take profit</x:v>
      </x:c>
      <x:c r="D38" s="9" t="n">
        <x:v>0.21105</x:v>
      </x:c>
      <x:c r="E38" s="3"/>
      <x:c r="F38" s="3" t="str">
        <x:v>gross only; actual fees not recorded</x:v>
      </x:c>
      <x:c r="G38" s="9" t="n">
        <x:v>55.38333333333333</x:v>
      </x:c>
      <x:c r="H38" s="3" t="str">
        <x:v>Latest preceding buy; inferred</x:v>
      </x:c>
      <x:c r="I38" s="3" t="str">
        <x:v>production</x:v>
      </x:c>
      <x:c r="J38" s="3" t="str">
        <x:v>5334884850</x:v>
      </x:c>
      <x:c r="K38" s="3" t="str">
        <x:v>5334819158</x:v>
      </x:c>
      <x:c r="L38" s="8" t="n">
        <x:v>46278.205046296294</x:v>
      </x:c>
      <x:c r="M38" s="9" t="n">
        <x:v>6.387</x:v>
      </x:c>
      <x:c r="N38" s="9" t="n">
        <x:v>6.432</x:v>
      </x:c>
      <x:c r="O38" s="9" t="n">
        <x:v>4.69</x:v>
      </x:c>
      <x:c r="P38" s="10" t="n">
        <x:v>690</x:v>
      </x:c>
      <x:c r="Q38" s="10" t="n">
        <x:v>695</x:v>
      </x:c>
      <x:c r="R38" s="4" t="b">
        <x:v>0</x:v>
      </x:c>
      <x:c r="S38" s="4" t="b">
        <x:v>1</x:v>
      </x:c>
      <x:c r="T38" s="4" t="b">
        <x:v>1</x:v>
      </x:c>
      <x:c r="U38" s="4" t="b">
        <x:v>1</x:v>
      </x:c>
      <x:c r="V38" s="4" t="b">
        <x:v>1</x:v>
      </x:c>
      <x:c r="W38" s="4" t="b">
        <x:v>1</x:v>
      </x:c>
      <x:c r="X38" s="4" t="b">
        <x:v>0</x:v>
      </x:c>
    </x:row>
    <x:row r="39" ht="21" customHeight="1">
      <x:c r="A39" s="8" t="n">
        <x:v>46278.26495370371</x:v>
      </x:c>
      <x:c r="B39" s="3" t="str">
        <x:v>ZECUSDT</x:v>
      </x:c>
      <x:c r="C39" s="3" t="str">
        <x:v>take profit</x:v>
      </x:c>
      <x:c r="D39" s="9" t="n">
        <x:v>0.1638</x:v>
      </x:c>
      <x:c r="E39" s="3"/>
      <x:c r="F39" s="3" t="str">
        <x:v>gross only; actual fees not recorded</x:v>
      </x:c>
      <x:c r="G39" s="9" t="n">
        <x:v>36.15</x:v>
      </x:c>
      <x:c r="H39" s="3" t="str">
        <x:v>Latest preceding buy; inferred</x:v>
      </x:c>
      <x:c r="I39" s="3" t="str">
        <x:v>production</x:v>
      </x:c>
      <x:c r="J39" s="3" t="str">
        <x:v>6087375666</x:v>
      </x:c>
      <x:c r="K39" s="3" t="str">
        <x:v>6087236698</x:v>
      </x:c>
      <x:c r="L39" s="8" t="n">
        <x:v>46278.239849537036</x:v>
      </x:c>
      <x:c r="M39" s="9" t="n">
        <x:v>1126.73</x:v>
      </x:c>
      <x:c r="N39" s="9" t="n">
        <x:v>1133.03</x:v>
      </x:c>
      <x:c r="O39" s="9" t="n">
        <x:v>0.026</x:v>
      </x:c>
      <x:c r="P39" s="10" t="n">
        <x:v>694</x:v>
      </x:c>
      <x:c r="Q39" s="10" t="n">
        <x:v>696</x:v>
      </x:c>
      <x:c r="R39" s="4" t="b">
        <x:v>0</x:v>
      </x:c>
      <x:c r="S39" s="4" t="b">
        <x:v>0</x:v>
      </x:c>
      <x:c r="T39" s="4" t="b">
        <x:v>1</x:v>
      </x:c>
      <x:c r="U39" s="4" t="b">
        <x:v>1</x:v>
      </x:c>
      <x:c r="V39" s="4" t="b">
        <x:v>1</x:v>
      </x:c>
      <x:c r="W39" s="4" t="b">
        <x:v>1</x:v>
      </x:c>
      <x:c r="X39" s="4" t="b">
        <x:v>1</x:v>
      </x:c>
    </x:row>
    <x:row r="40" ht="21" customHeight="1">
      <x:c r="A40" s="8" t="n">
        <x:v>46278.27099537037</x:v>
      </x:c>
      <x:c r="B40" s="3" t="str">
        <x:v>SUIUSDT</x:v>
      </x:c>
      <x:c r="C40" s="3" t="str">
        <x:v>stop loss</x:v>
      </x:c>
      <x:c r="D40" s="9" t="n">
        <x:v>-0.17304</x:v>
      </x:c>
      <x:c r="E40" s="3"/>
      <x:c r="F40" s="3" t="str">
        <x:v>gross only; actual fees not recorded</x:v>
      </x:c>
      <x:c r="G40" s="9" t="n">
        <x:v>114.7</x:v>
      </x:c>
      <x:c r="H40" s="3" t="str">
        <x:v>Latest preceding buy; inferred</x:v>
      </x:c>
      <x:c r="I40" s="3" t="str">
        <x:v>production</x:v>
      </x:c>
      <x:c r="J40" s="3" t="str">
        <x:v>8849123990</x:v>
      </x:c>
      <x:c r="K40" s="3" t="str">
        <x:v>8849018304</x:v>
      </x:c>
      <x:c r="L40" s="8" t="n">
        <x:v>46278.191342592596</x:v>
      </x:c>
      <x:c r="M40" s="9" t="n">
        <x:v>0.7268</x:v>
      </x:c>
      <x:c r="N40" s="9" t="n">
        <x:v>0.7226</x:v>
      </x:c>
      <x:c r="O40" s="9" t="n">
        <x:v>41.2</x:v>
      </x:c>
      <x:c r="P40" s="10" t="n">
        <x:v>686</x:v>
      </x:c>
      <x:c r="Q40" s="10" t="n">
        <x:v>697</x:v>
      </x:c>
      <x:c r="R40" s="4" t="b">
        <x:v>0</x:v>
      </x:c>
      <x:c r="S40" s="4" t="b">
        <x:v>0</x:v>
      </x:c>
      <x:c r="T40" s="4" t="b">
        <x:v>1</x:v>
      </x:c>
      <x:c r="U40" s="4" t="b">
        <x:v>1</x:v>
      </x:c>
      <x:c r="V40" s="4" t="b">
        <x:v>1</x:v>
      </x:c>
      <x:c r="W40" s="4" t="b">
        <x:v>1</x:v>
      </x:c>
      <x:c r="X40" s="4" t="b">
        <x:v>1</x:v>
      </x:c>
    </x:row>
    <x:row r="41" ht="21" customHeight="1">
      <x:c r="A41" s="8" t="n">
        <x:v>46278.28487268519</x:v>
      </x:c>
      <x:c r="B41" s="3" t="str">
        <x:v>ADAUSDT</x:v>
      </x:c>
      <x:c r="C41" s="3" t="str">
        <x:v>stop loss</x:v>
      </x:c>
      <x:c r="D41" s="9" t="n">
        <x:v>-0.1443</x:v>
      </x:c>
      <x:c r="E41" s="3"/>
      <x:c r="F41" s="3" t="str">
        <x:v>gross only; actual fees not recorded</x:v>
      </x:c>
      <x:c r="G41" s="9" t="n">
        <x:v>124.76666666666667</x:v>
      </x:c>
      <x:c r="H41" s="3" t="str">
        <x:v>Latest preceding buy; inferred</x:v>
      </x:c>
      <x:c r="I41" s="3" t="str">
        <x:v>production</x:v>
      </x:c>
      <x:c r="J41" s="3" t="str">
        <x:v>8786192414</x:v>
      </x:c>
      <x:c r="K41" s="3" t="str">
        <x:v>8786158929</x:v>
      </x:c>
      <x:c r="L41" s="8" t="n">
        <x:v>46278.198229166665</x:v>
      </x:c>
      <x:c r="M41" s="9" t="n">
        <x:v>0.2078</x:v>
      </x:c>
      <x:c r="N41" s="9" t="n">
        <x:v>0.2068</x:v>
      </x:c>
      <x:c r="O41" s="9" t="n">
        <x:v>144.3</x:v>
      </x:c>
      <x:c r="P41" s="10" t="n">
        <x:v>689</x:v>
      </x:c>
      <x:c r="Q41" s="10" t="n">
        <x:v>698</x:v>
      </x:c>
      <x:c r="R41" s="4" t="b">
        <x:v>0</x:v>
      </x:c>
      <x:c r="S41" s="4" t="b">
        <x:v>0</x:v>
      </x:c>
      <x:c r="T41" s="4" t="b">
        <x:v>1</x:v>
      </x:c>
      <x:c r="U41" s="4" t="b">
        <x:v>1</x:v>
      </x:c>
      <x:c r="V41" s="4" t="b">
        <x:v>1</x:v>
      </x:c>
      <x:c r="W41" s="4" t="b">
        <x:v>1</x:v>
      </x:c>
      <x:c r="X41" s="4" t="b">
        <x:v>1</x:v>
      </x:c>
    </x:row>
    <x:row r="42" ht="21" customHeight="1">
      <x:c r="A42" s="8" t="n">
        <x:v>46278.284895833334</x:v>
      </x:c>
      <x:c r="B42" s="3" t="str">
        <x:v>BNBUSDT</x:v>
      </x:c>
      <x:c r="C42" s="3" t="str">
        <x:v>stop loss</x:v>
      </x:c>
      <x:c r="D42" s="9" t="n">
        <x:v>-0.03731</x:v>
      </x:c>
      <x:c r="E42" s="3"/>
      <x:c r="F42" s="3" t="str">
        <x:v>gross only; actual fees not recorded</x:v>
      </x:c>
      <x:c r="G42" s="9" t="n">
        <x:v>69.71666666666667</x:v>
      </x:c>
      <x:c r="H42" s="3" t="str">
        <x:v>Latest preceding buy; inferred</x:v>
      </x:c>
      <x:c r="I42" s="3" t="str">
        <x:v>production</x:v>
      </x:c>
      <x:c r="J42" s="3" t="str">
        <x:v>12594080888</x:v>
      </x:c>
      <x:c r="K42" s="3" t="str">
        <x:v>12593957210</x:v>
      </x:c>
      <x:c r="L42" s="8" t="n">
        <x:v>46278.23648148148</x:v>
      </x:c>
      <x:c r="M42" s="9" t="n">
        <x:v>728.11</x:v>
      </x:c>
      <x:c r="N42" s="9" t="n">
        <x:v>727.2</x:v>
      </x:c>
      <x:c r="O42" s="9" t="n">
        <x:v>0.041</x:v>
      </x:c>
      <x:c r="P42" s="10" t="n">
        <x:v>693</x:v>
      </x:c>
      <x:c r="Q42" s="10" t="n">
        <x:v>699</x:v>
      </x:c>
      <x:c r="R42" s="4" t="b">
        <x:v>0</x:v>
      </x:c>
      <x:c r="S42" s="4" t="b">
        <x:v>1</x:v>
      </x:c>
      <x:c r="T42" s="4" t="b">
        <x:v>1</x:v>
      </x:c>
      <x:c r="U42" s="4" t="b">
        <x:v>1</x:v>
      </x:c>
      <x:c r="V42" s="4" t="b">
        <x:v>0</x:v>
      </x:c>
      <x:c r="W42" s="4" t="b">
        <x:v>1</x:v>
      </x:c>
      <x:c r="X42" s="4" t="b">
        <x:v>1</x:v>
      </x:c>
    </x:row>
    <x:row r="43" ht="21" customHeight="1">
      <x:c r="A43" s="8" t="n">
        <x:v>46278.32690972222</x:v>
      </x:c>
      <x:c r="B43" s="3" t="str">
        <x:v>WLFIUSDT</x:v>
      </x:c>
      <x:c r="C43" s="3" t="str">
        <x:v>take profit</x:v>
      </x:c>
      <x:c r="D43" s="9" t="n">
        <x:v>0.15732</x:v>
      </x:c>
      <x:c r="E43" s="3"/>
      <x:c r="F43" s="3" t="str">
        <x:v>gross only; actual fees not recorded</x:v>
      </x:c>
      <x:c r="G43" s="9" t="n">
        <x:v>10.733333333333333</x:v>
      </x:c>
      <x:c r="H43" s="3" t="str">
        <x:v>Latest preceding buy; inferred</x:v>
      </x:c>
      <x:c r="I43" s="3" t="str">
        <x:v>production</x:v>
      </x:c>
      <x:c r="J43" s="3" t="str">
        <x:v>467189510</x:v>
      </x:c>
      <x:c r="K43" s="3" t="str">
        <x:v>467183888</x:v>
      </x:c>
      <x:c r="L43" s="8" t="n">
        <x:v>46278.31945601852</x:v>
      </x:c>
      <x:c r="M43" s="9" t="n">
        <x:v>0.0572</x:v>
      </x:c>
      <x:c r="N43" s="9" t="n">
        <x:v>0.0575</x:v>
      </x:c>
      <x:c r="O43" s="9" t="n">
        <x:v>524.4</x:v>
      </x:c>
      <x:c r="P43" s="10" t="n">
        <x:v>700</x:v>
      </x:c>
      <x:c r="Q43" s="10" t="n">
        <x:v>701</x:v>
      </x:c>
      <x:c r="R43" s="4" t="b">
        <x:v>0</x:v>
      </x:c>
      <x:c r="S43" s="4" t="b">
        <x:v>0</x:v>
      </x:c>
      <x:c r="T43" s="4" t="b">
        <x:v>1</x:v>
      </x:c>
      <x:c r="U43" s="4" t="b">
        <x:v>1</x:v>
      </x:c>
      <x:c r="V43" s="4" t="b">
        <x:v>1</x:v>
      </x:c>
      <x:c r="W43" s="4" t="b">
        <x:v>1</x:v>
      </x:c>
      <x:c r="X43" s="4" t="b">
        <x:v>1</x:v>
      </x:c>
    </x:row>
    <x:row r="44" ht="21" customHeight="1">
      <x:c r="A44" s="8" t="n">
        <x:v>46278.367060185185</x:v>
      </x:c>
      <x:c r="B44" s="3" t="str">
        <x:v>ADAUSDT</x:v>
      </x:c>
      <x:c r="C44" s="3" t="str">
        <x:v>take profit</x:v>
      </x:c>
      <x:c r="D44" s="9" t="n">
        <x:v>0.10122</x:v>
      </x:c>
      <x:c r="E44" s="3"/>
      <x:c r="F44" s="3" t="str">
        <x:v>gross only; actual fees not recorded</x:v>
      </x:c>
      <x:c r="G44" s="9" t="n">
        <x:v>43.016666666666666</x:v>
      </x:c>
      <x:c r="H44" s="3" t="str">
        <x:v>Latest preceding buy; inferred</x:v>
      </x:c>
      <x:c r="I44" s="3" t="str">
        <x:v>production</x:v>
      </x:c>
      <x:c r="J44" s="3" t="str">
        <x:v>8786223397</x:v>
      </x:c>
      <x:c r="K44" s="3" t="str">
        <x:v>8786213200</x:v>
      </x:c>
      <x:c r="L44" s="8" t="n">
        <x:v>46278.3371875</x:v>
      </x:c>
      <x:c r="M44" s="9" t="n">
        <x:v>0.2074</x:v>
      </x:c>
      <x:c r="N44" s="9" t="n">
        <x:v>0.2081</x:v>
      </x:c>
      <x:c r="O44" s="9" t="n">
        <x:v>144.6</x:v>
      </x:c>
      <x:c r="P44" s="10" t="n">
        <x:v>702</x:v>
      </x:c>
      <x:c r="Q44" s="10" t="n">
        <x:v>706</x:v>
      </x:c>
      <x:c r="R44" s="4" t="b">
        <x:v>0</x:v>
      </x:c>
      <x:c r="S44" s="4" t="b">
        <x:v>0</x:v>
      </x:c>
      <x:c r="T44" s="4" t="b">
        <x:v>1</x:v>
      </x:c>
      <x:c r="U44" s="4" t="b">
        <x:v>1</x:v>
      </x:c>
      <x:c r="V44" s="4" t="b">
        <x:v>1</x:v>
      </x:c>
      <x:c r="W44" s="4" t="b">
        <x:v>1</x:v>
      </x:c>
      <x:c r="X44" s="4" t="b">
        <x:v>1</x:v>
      </x:c>
    </x:row>
    <x:row r="45" ht="21" customHeight="1">
      <x:c r="A45" s="8" t="n">
        <x:v>46278.37159722222</x:v>
      </x:c>
      <x:c r="B45" s="3" t="str">
        <x:v>PEPEUSDT</x:v>
      </x:c>
      <x:c r="C45" s="3" t="str">
        <x:v>RSI sell signal</x:v>
      </x:c>
      <x:c r="D45" s="9" t="n">
        <x:v>0.08661849</x:v>
      </x:c>
      <x:c r="E45" s="3"/>
      <x:c r="F45" s="3" t="str">
        <x:v>gross only; actual fees not recorded</x:v>
      </x:c>
      <x:c r="G45" s="9" t="n">
        <x:v>19.9</x:v>
      </x:c>
      <x:c r="H45" s="3" t="str">
        <x:v>Latest preceding buy; inferred</x:v>
      </x:c>
      <x:c r="I45" s="3" t="str">
        <x:v>production</x:v>
      </x:c>
      <x:c r="J45" s="3" t="str">
        <x:v>5415472144</x:v>
      </x:c>
      <x:c r="K45" s="3" t="str">
        <x:v>5415465135</x:v>
      </x:c>
      <x:c r="L45" s="8" t="n">
        <x:v>46278.357777777775</x:v>
      </x:c>
      <x:c r="M45" s="9" t="n">
        <x:v>0.00000346</x:v>
      </x:c>
      <x:c r="N45" s="9" t="n">
        <x:v>0.00000347</x:v>
      </x:c>
      <x:c r="O45" s="9" t="n">
        <x:v>8661849</x:v>
      </x:c>
      <x:c r="P45" s="10" t="n">
        <x:v>705</x:v>
      </x:c>
      <x:c r="Q45" s="10" t="n">
        <x:v>707</x:v>
      </x:c>
      <x:c r="R45" s="4" t="b">
        <x:v>0</x:v>
      </x:c>
      <x:c r="S45" s="4" t="b">
        <x:v>0</x:v>
      </x:c>
      <x:c r="T45" s="4" t="b">
        <x:v>1</x:v>
      </x:c>
      <x:c r="U45" s="4" t="b">
        <x:v>1</x:v>
      </x:c>
      <x:c r="V45" s="4" t="b">
        <x:v>1</x:v>
      </x:c>
      <x:c r="W45" s="4" t="b">
        <x:v>1</x:v>
      </x:c>
      <x:c r="X45" s="4" t="b">
        <x:v>1</x:v>
      </x:c>
    </x:row>
    <x:row r="46" ht="21" customHeight="1">
      <x:c r="A46" s="8" t="n">
        <x:v>46278.39240740741</x:v>
      </x:c>
      <x:c r="B46" s="3" t="str">
        <x:v>ENAUSDT</x:v>
      </x:c>
      <x:c r="C46" s="3" t="str">
        <x:v>stop loss</x:v>
      </x:c>
      <x:c r="D46" s="9" t="n">
        <x:v>-0.148197</x:v>
      </x:c>
      <x:c r="E46" s="3"/>
      <x:c r="F46" s="3" t="str">
        <x:v>gross only; actual fees not recorded</x:v>
      </x:c>
      <x:c r="G46" s="9" t="n">
        <x:v>20</x:v>
      </x:c>
      <x:c r="H46" s="3" t="str">
        <x:v>Latest preceding buy; inferred</x:v>
      </x:c>
      <x:c r="I46" s="3" t="str">
        <x:v>production</x:v>
      </x:c>
      <x:c r="J46" s="3" t="str">
        <x:v>3402430396</x:v>
      </x:c>
      <x:c r="K46" s="3" t="str">
        <x:v>3402424198</x:v>
      </x:c>
      <x:c r="L46" s="8" t="n">
        <x:v>46278.37851851852</x:v>
      </x:c>
      <x:c r="M46" s="9" t="n">
        <x:v>0.1417</x:v>
      </x:c>
      <x:c r="N46" s="9" t="n">
        <x:v>0.141</x:v>
      </x:c>
      <x:c r="O46" s="9" t="n">
        <x:v>211.71</x:v>
      </x:c>
      <x:c r="P46" s="10" t="n">
        <x:v>708</x:v>
      </x:c>
      <x:c r="Q46" s="10" t="n">
        <x:v>710</x:v>
      </x:c>
      <x:c r="R46" s="4" t="b">
        <x:v>0</x:v>
      </x:c>
      <x:c r="S46" s="4" t="b">
        <x:v>0</x:v>
      </x:c>
      <x:c r="T46" s="4" t="b">
        <x:v>1</x:v>
      </x:c>
      <x:c r="U46" s="4" t="b">
        <x:v>1</x:v>
      </x:c>
      <x:c r="V46" s="4" t="b">
        <x:v>1</x:v>
      </x:c>
      <x:c r="W46" s="4" t="b">
        <x:v>1</x:v>
      </x:c>
      <x:c r="X46" s="4" t="b">
        <x:v>1</x:v>
      </x:c>
    </x:row>
    <x:row r="47" ht="21" customHeight="1">
      <x:c r="A47" s="8" t="n">
        <x:v>46278.39944444445</x:v>
      </x:c>
      <x:c r="B47" s="3" t="str">
        <x:v>SUIUSDT</x:v>
      </x:c>
      <x:c r="C47" s="3" t="str">
        <x:v>stop loss</x:v>
      </x:c>
      <x:c r="D47" s="9" t="n">
        <x:v>-0.07847</x:v>
      </x:c>
      <x:c r="E47" s="3"/>
      <x:c r="F47" s="3" t="str">
        <x:v>gross only; actual fees not recorded</x:v>
      </x:c>
      <x:c r="G47" s="9" t="n">
        <x:v>69.91666666666667</x:v>
      </x:c>
      <x:c r="H47" s="3" t="str">
        <x:v>Latest preceding buy; inferred</x:v>
      </x:c>
      <x:c r="I47" s="3" t="str">
        <x:v>production</x:v>
      </x:c>
      <x:c r="J47" s="3" t="str">
        <x:v>8849253263</x:v>
      </x:c>
      <x:c r="K47" s="3" t="str">
        <x:v>8849213806</x:v>
      </x:c>
      <x:c r="L47" s="8" t="n">
        <x:v>46278.35089120371</x:v>
      </x:c>
      <x:c r="M47" s="9" t="n">
        <x:v>0.7248</x:v>
      </x:c>
      <x:c r="N47" s="9" t="n">
        <x:v>0.7229</x:v>
      </x:c>
      <x:c r="O47" s="9" t="n">
        <x:v>41.3</x:v>
      </x:c>
      <x:c r="P47" s="10" t="n">
        <x:v>704</x:v>
      </x:c>
      <x:c r="Q47" s="10" t="n">
        <x:v>713</x:v>
      </x:c>
      <x:c r="R47" s="4" t="b">
        <x:v>0</x:v>
      </x:c>
      <x:c r="S47" s="4" t="b">
        <x:v>0</x:v>
      </x:c>
      <x:c r="T47" s="4" t="b">
        <x:v>1</x:v>
      </x:c>
      <x:c r="U47" s="4" t="b">
        <x:v>1</x:v>
      </x:c>
      <x:c r="V47" s="4" t="b">
        <x:v>1</x:v>
      </x:c>
      <x:c r="W47" s="4" t="b">
        <x:v>1</x:v>
      </x:c>
      <x:c r="X47" s="4" t="b">
        <x:v>1</x:v>
      </x:c>
    </x:row>
    <x:row r="48" ht="21" customHeight="1">
      <x:c r="A48" s="8" t="n">
        <x:v>46278.39945601852</x:v>
      </x:c>
      <x:c r="B48" s="3" t="str">
        <x:v>WLDUSDT</x:v>
      </x:c>
      <x:c r="C48" s="3" t="str">
        <x:v>stop loss</x:v>
      </x:c>
      <x:c r="D48" s="9" t="n">
        <x:v>-0.12835</x:v>
      </x:c>
      <x:c r="E48" s="3"/>
      <x:c r="F48" s="3" t="str">
        <x:v>gross only; actual fees not recorded</x:v>
      </x:c>
      <x:c r="G48" s="9" t="n">
        <x:v>74.93333333333334</x:v>
      </x:c>
      <x:c r="H48" s="3" t="str">
        <x:v>Latest preceding buy; inferred</x:v>
      </x:c>
      <x:c r="I48" s="3" t="str">
        <x:v>production</x:v>
      </x:c>
      <x:c r="J48" s="3" t="str">
        <x:v>4151847116</x:v>
      </x:c>
      <x:c r="K48" s="3" t="str">
        <x:v>4151821017</x:v>
      </x:c>
      <x:c r="L48" s="8" t="n">
        <x:v>46278.34741898148</x:v>
      </x:c>
      <x:c r="M48" s="9" t="n">
        <x:v>0.3973</x:v>
      </x:c>
      <x:c r="N48" s="9" t="n">
        <x:v>0.3956</x:v>
      </x:c>
      <x:c r="O48" s="9" t="n">
        <x:v>75.5</x:v>
      </x:c>
      <x:c r="P48" s="10" t="n">
        <x:v>703</x:v>
      </x:c>
      <x:c r="Q48" s="10" t="n">
        <x:v>714</x:v>
      </x:c>
      <x:c r="R48" s="4" t="b">
        <x:v>0</x:v>
      </x:c>
      <x:c r="S48" s="4" t="b">
        <x:v>0</x:v>
      </x:c>
      <x:c r="T48" s="4" t="b">
        <x:v>1</x:v>
      </x:c>
      <x:c r="U48" s="4" t="b">
        <x:v>1</x:v>
      </x:c>
      <x:c r="V48" s="4" t="b">
        <x:v>1</x:v>
      </x:c>
      <x:c r="W48" s="4" t="b">
        <x:v>1</x:v>
      </x:c>
      <x:c r="X48" s="4" t="b">
        <x:v>1</x:v>
      </x:c>
    </x:row>
    <x:row r="49" ht="21" customHeight="1">
      <x:c r="A49" s="8" t="n">
        <x:v>46278.413298611114</x:v>
      </x:c>
      <x:c r="B49" s="3" t="str">
        <x:v>UNIUSDT</x:v>
      </x:c>
      <x:c r="C49" s="3" t="str">
        <x:v>stop loss</x:v>
      </x:c>
      <x:c r="D49" s="9" t="n">
        <x:v>-0.2162</x:v>
      </x:c>
      <x:c r="E49" s="3"/>
      <x:c r="F49" s="3" t="str">
        <x:v>gross only; actual fees not recorded</x:v>
      </x:c>
      <x:c r="G49" s="9" t="n">
        <x:v>30.066666666666666</x:v>
      </x:c>
      <x:c r="H49" s="3" t="str">
        <x:v>Latest preceding buy; inferred</x:v>
      </x:c>
      <x:c r="I49" s="3" t="str">
        <x:v>production</x:v>
      </x:c>
      <x:c r="J49" s="3" t="str">
        <x:v>5335143492</x:v>
      </x:c>
      <x:c r="K49" s="3" t="str">
        <x:v>5335107850</x:v>
      </x:c>
      <x:c r="L49" s="8" t="n">
        <x:v>46278.39241898148</x:v>
      </x:c>
      <x:c r="M49" s="9" t="n">
        <x:v>6.382</x:v>
      </x:c>
      <x:c r="N49" s="9" t="n">
        <x:v>6.336</x:v>
      </x:c>
      <x:c r="O49" s="9" t="n">
        <x:v>4.7</x:v>
      </x:c>
      <x:c r="P49" s="10" t="n">
        <x:v>711</x:v>
      </x:c>
      <x:c r="Q49" s="10" t="n">
        <x:v>715</x:v>
      </x:c>
      <x:c r="R49" s="4" t="b">
        <x:v>0</x:v>
      </x:c>
      <x:c r="S49" s="4" t="b">
        <x:v>0</x:v>
      </x:c>
      <x:c r="T49" s="4" t="b">
        <x:v>1</x:v>
      </x:c>
      <x:c r="U49" s="4" t="b">
        <x:v>1</x:v>
      </x:c>
      <x:c r="V49" s="4" t="b">
        <x:v>1</x:v>
      </x:c>
      <x:c r="W49" s="4" t="b">
        <x:v>1</x:v>
      </x:c>
      <x:c r="X49" s="4" t="b">
        <x:v>1</x:v>
      </x:c>
    </x:row>
    <x:row r="50" ht="21" customHeight="1">
      <x:c r="A50" s="8" t="n">
        <x:v>46278.413356481484</x:v>
      </x:c>
      <x:c r="B50" s="3" t="str">
        <x:v>ADAUSDT</x:v>
      </x:c>
      <x:c r="C50" s="3" t="str">
        <x:v>stop loss</x:v>
      </x:c>
      <x:c r="D50" s="9" t="n">
        <x:v>-0.12987</x:v>
      </x:c>
      <x:c r="E50" s="3"/>
      <x:c r="F50" s="3" t="str">
        <x:v>gross only; actual fees not recorded</x:v>
      </x:c>
      <x:c r="G50" s="9" t="n">
        <x:v>30.083333333333332</x:v>
      </x:c>
      <x:c r="H50" s="3" t="str">
        <x:v>Latest preceding buy; inferred</x:v>
      </x:c>
      <x:c r="I50" s="3" t="str">
        <x:v>production</x:v>
      </x:c>
      <x:c r="J50" s="3" t="str">
        <x:v>8786240488</x:v>
      </x:c>
      <x:c r="K50" s="3" t="str">
        <x:v>8786233168</x:v>
      </x:c>
      <x:c r="L50" s="8" t="n">
        <x:v>46278.39246527778</x:v>
      </x:c>
      <x:c r="M50" s="9" t="n">
        <x:v>0.2079</x:v>
      </x:c>
      <x:c r="N50" s="9" t="n">
        <x:v>0.207</x:v>
      </x:c>
      <x:c r="O50" s="9" t="n">
        <x:v>144.3</x:v>
      </x:c>
      <x:c r="P50" s="10" t="n">
        <x:v>712</x:v>
      </x:c>
      <x:c r="Q50" s="10" t="n">
        <x:v>716</x:v>
      </x:c>
      <x:c r="R50" s="4" t="b">
        <x:v>0</x:v>
      </x:c>
      <x:c r="S50" s="4" t="b">
        <x:v>0</x:v>
      </x:c>
      <x:c r="T50" s="4" t="b">
        <x:v>1</x:v>
      </x:c>
      <x:c r="U50" s="4" t="b">
        <x:v>1</x:v>
      </x:c>
      <x:c r="V50" s="4" t="b">
        <x:v>1</x:v>
      </x:c>
      <x:c r="W50" s="4" t="b">
        <x:v>1</x:v>
      </x:c>
      <x:c r="X50" s="4" t="b">
        <x:v>1</x:v>
      </x:c>
    </x:row>
    <x:row r="51" ht="21" customHeight="1">
      <x:c r="A51" s="8" t="n">
        <x:v>46278.444814814815</x:v>
      </x:c>
      <x:c r="B51" s="3" t="str">
        <x:v>ZECUSDT</x:v>
      </x:c>
      <x:c r="C51" s="3" t="str">
        <x:v>stop loss</x:v>
      </x:c>
      <x:c r="D51" s="9" t="n">
        <x:v>-0.22932</x:v>
      </x:c>
      <x:c r="E51" s="3"/>
      <x:c r="F51" s="3" t="str">
        <x:v>gross only; actual fees not recorded</x:v>
      </x:c>
      <x:c r="G51" s="9" t="n">
        <x:v>80.46666666666667</x:v>
      </x:c>
      <x:c r="H51" s="3" t="str">
        <x:v>Latest preceding buy; inferred</x:v>
      </x:c>
      <x:c r="I51" s="3" t="str">
        <x:v>production</x:v>
      </x:c>
      <x:c r="J51" s="3" t="str">
        <x:v>6088759689</x:v>
      </x:c>
      <x:c r="K51" s="3" t="str">
        <x:v>6088269543</x:v>
      </x:c>
      <x:c r="L51" s="8" t="n">
        <x:v>46278.38893518518</x:v>
      </x:c>
      <x:c r="M51" s="9" t="n">
        <x:v>1142.81</x:v>
      </x:c>
      <x:c r="N51" s="9" t="n">
        <x:v>1133.99</x:v>
      </x:c>
      <x:c r="O51" s="9" t="n">
        <x:v>0.026</x:v>
      </x:c>
      <x:c r="P51" s="10" t="n">
        <x:v>709</x:v>
      </x:c>
      <x:c r="Q51" s="10" t="n">
        <x:v>717</x:v>
      </x:c>
      <x:c r="R51" s="4" t="b">
        <x:v>0</x:v>
      </x:c>
      <x:c r="S51" s="4" t="b">
        <x:v>0</x:v>
      </x:c>
      <x:c r="T51" s="4" t="b">
        <x:v>1</x:v>
      </x:c>
      <x:c r="U51" s="4" t="b">
        <x:v>1</x:v>
      </x:c>
      <x:c r="V51" s="4" t="b">
        <x:v>1</x:v>
      </x:c>
      <x:c r="W51" s="4" t="b">
        <x:v>1</x:v>
      </x:c>
      <x:c r="X51" s="4" t="b">
        <x:v>1</x:v>
      </x:c>
    </x:row>
    <x:row r="52" ht="21" customHeight="1">
      <x:c r="A52" s="8" t="n">
        <x:v>46278.788402777776</x:v>
      </x:c>
      <x:c r="B52" s="3" t="str">
        <x:v>NEARUSDT</x:v>
      </x:c>
      <x:c r="C52" s="3" t="str">
        <x:v>stop loss</x:v>
      </x:c>
      <x:c r="D52" s="9" t="n">
        <x:v>-0.221</x:v>
      </x:c>
      <x:c r="E52" s="3"/>
      <x:c r="F52" s="3" t="str">
        <x:v>gross only; actual fees not recorded</x:v>
      </x:c>
      <x:c r="G52" s="9" t="n">
        <x:v>45.18333333333333</x:v>
      </x:c>
      <x:c r="H52" s="3" t="str">
        <x:v>Latest preceding buy; inferred</x:v>
      </x:c>
      <x:c r="I52" s="3" t="str">
        <x:v>production</x:v>
      </x:c>
      <x:c r="J52" s="3" t="str">
        <x:v>5125046435</x:v>
      </x:c>
      <x:c r="K52" s="3" t="str">
        <x:v>5125011408</x:v>
      </x:c>
      <x:c r="L52" s="8" t="n">
        <x:v>46278.75702546296</x:v>
      </x:c>
      <x:c r="M52" s="9" t="n">
        <x:v>2.3</x:v>
      </x:c>
      <x:c r="N52" s="9" t="n">
        <x:v>2.283</x:v>
      </x:c>
      <x:c r="O52" s="9" t="n">
        <x:v>13</x:v>
      </x:c>
      <x:c r="P52" s="10" t="n">
        <x:v>718</x:v>
      </x:c>
      <x:c r="Q52" s="10" t="n">
        <x:v>722</x:v>
      </x:c>
      <x:c r="R52" s="4" t="b">
        <x:v>0</x:v>
      </x:c>
      <x:c r="S52" s="4" t="b">
        <x:v>0</x:v>
      </x:c>
      <x:c r="T52" s="4" t="b">
        <x:v>1</x:v>
      </x:c>
      <x:c r="U52" s="4" t="b">
        <x:v>1</x:v>
      </x:c>
      <x:c r="V52" s="4" t="b">
        <x:v>1</x:v>
      </x:c>
      <x:c r="W52" s="4" t="b">
        <x:v>1</x:v>
      </x:c>
      <x:c r="X52" s="4" t="b">
        <x:v>1</x:v>
      </x:c>
    </x:row>
    <x:row r="53" ht="21" customHeight="1">
      <x:c r="A53" s="8" t="n">
        <x:v>46278.79384259259</x:v>
      </x:c>
      <x:c r="B53" s="3" t="str">
        <x:v>ETHUSDT</x:v>
      </x:c>
      <x:c r="C53" s="3" t="str">
        <x:v>take profit</x:v>
      </x:c>
      <x:c r="D53" s="9" t="n">
        <x:v>0.1104</x:v>
      </x:c>
      <x:c r="E53" s="3"/>
      <x:c r="F53" s="3" t="str">
        <x:v>gross only; actual fees not recorded</x:v>
      </x:c>
      <x:c r="G53" s="9" t="n">
        <x:v>43.03333333333333</x:v>
      </x:c>
      <x:c r="H53" s="3" t="str">
        <x:v>Latest preceding buy; inferred</x:v>
      </x:c>
      <x:c r="I53" s="3" t="str">
        <x:v>production</x:v>
      </x:c>
      <x:c r="J53" s="3" t="str">
        <x:v>49784373472</x:v>
      </x:c>
      <x:c r="K53" s="3" t="str">
        <x:v>49784064337</x:v>
      </x:c>
      <x:c r="L53" s="8" t="n">
        <x:v>46278.76395833334</x:v>
      </x:c>
      <x:c r="M53" s="9" t="n">
        <x:v>2485.62</x:v>
      </x:c>
      <x:c r="N53" s="9" t="n">
        <x:v>2494.82</x:v>
      </x:c>
      <x:c r="O53" s="9" t="n">
        <x:v>0.012</x:v>
      </x:c>
      <x:c r="P53" s="10" t="n">
        <x:v>721</x:v>
      </x:c>
      <x:c r="Q53" s="10" t="n">
        <x:v>723</x:v>
      </x:c>
      <x:c r="R53" s="4" t="b">
        <x:v>0</x:v>
      </x:c>
      <x:c r="S53" s="4" t="b">
        <x:v>0</x:v>
      </x:c>
      <x:c r="T53" s="4" t="b">
        <x:v>1</x:v>
      </x:c>
      <x:c r="U53" s="4" t="b">
        <x:v>1</x:v>
      </x:c>
      <x:c r="V53" s="4" t="b">
        <x:v>1</x:v>
      </x:c>
      <x:c r="W53" s="4" t="b">
        <x:v>1</x:v>
      </x:c>
      <x:c r="X53" s="4" t="b">
        <x:v>1</x:v>
      </x:c>
    </x:row>
    <x:row r="54" ht="21" customHeight="1">
      <x:c r="A54" s="8" t="n">
        <x:v>46278.797581018516</x:v>
      </x:c>
      <x:c r="B54" s="3" t="str">
        <x:v>SOLUSDT</x:v>
      </x:c>
      <x:c r="C54" s="3" t="str">
        <x:v>take profit</x:v>
      </x:c>
      <x:c r="D54" s="9" t="n">
        <x:v>0.10764</x:v>
      </x:c>
      <x:c r="E54" s="3"/>
      <x:c r="F54" s="3" t="str">
        <x:v>gross only; actual fees not recorded</x:v>
      </x:c>
      <x:c r="G54" s="9" t="n">
        <x:v>48.46666666666667</x:v>
      </x:c>
      <x:c r="H54" s="3" t="str">
        <x:v>Latest preceding buy; inferred</x:v>
      </x:c>
      <x:c r="I54" s="3" t="str">
        <x:v>production</x:v>
      </x:c>
      <x:c r="J54" s="3" t="str">
        <x:v>17794109320</x:v>
      </x:c>
      <x:c r="K54" s="3" t="str">
        <x:v>17794023855</x:v>
      </x:c>
      <x:c r="L54" s="8" t="n">
        <x:v>46278.76392361111</x:v>
      </x:c>
      <x:c r="M54" s="9" t="n">
        <x:v>100.24</x:v>
      </x:c>
      <x:c r="N54" s="9" t="n">
        <x:v>100.6</x:v>
      </x:c>
      <x:c r="O54" s="9" t="n">
        <x:v>0.299</x:v>
      </x:c>
      <x:c r="P54" s="10" t="n">
        <x:v>719</x:v>
      </x:c>
      <x:c r="Q54" s="10" t="n">
        <x:v>724</x:v>
      </x:c>
      <x:c r="R54" s="4" t="b">
        <x:v>0</x:v>
      </x:c>
      <x:c r="S54" s="4" t="b">
        <x:v>0</x:v>
      </x:c>
      <x:c r="T54" s="4" t="b">
        <x:v>1</x:v>
      </x:c>
      <x:c r="U54" s="4" t="b">
        <x:v>1</x:v>
      </x:c>
      <x:c r="V54" s="4" t="b">
        <x:v>1</x:v>
      </x:c>
      <x:c r="W54" s="4" t="b">
        <x:v>1</x:v>
      </x:c>
      <x:c r="X54" s="4" t="b">
        <x:v>1</x:v>
      </x:c>
    </x:row>
    <x:row r="55" ht="21" customHeight="1">
      <x:c r="A55" s="8" t="n">
        <x:v>46278.79869212963</x:v>
      </x:c>
      <x:c r="B55" s="3" t="str">
        <x:v>DOGEUSDT</x:v>
      </x:c>
      <x:c r="C55" s="3" t="str">
        <x:v>take profit</x:v>
      </x:c>
      <x:c r="D55" s="9" t="n">
        <x:v>0.11129</x:v>
      </x:c>
      <x:c r="E55" s="3"/>
      <x:c r="F55" s="3" t="str">
        <x:v>gross only; actual fees not recorded</x:v>
      </x:c>
      <x:c r="G55" s="9" t="n">
        <x:v>50.05</x:v>
      </x:c>
      <x:c r="H55" s="3" t="str">
        <x:v>Latest preceding buy; inferred</x:v>
      </x:c>
      <x:c r="I55" s="3" t="str">
        <x:v>production</x:v>
      </x:c>
      <x:c r="J55" s="3" t="str">
        <x:v>14926493777</x:v>
      </x:c>
      <x:c r="K55" s="3" t="str">
        <x:v>14926398816</x:v>
      </x:c>
      <x:c r="L55" s="8" t="n">
        <x:v>46278.76393518518</x:v>
      </x:c>
      <x:c r="M55" s="9" t="n">
        <x:v>0.0835</x:v>
      </x:c>
      <x:c r="N55" s="9" t="n">
        <x:v>0.08381</x:v>
      </x:c>
      <x:c r="O55" s="9" t="n">
        <x:v>359</x:v>
      </x:c>
      <x:c r="P55" s="10" t="n">
        <x:v>720</x:v>
      </x:c>
      <x:c r="Q55" s="10" t="n">
        <x:v>725</x:v>
      </x:c>
      <x:c r="R55" s="4" t="b">
        <x:v>0</x:v>
      </x:c>
      <x:c r="S55" s="4" t="b">
        <x:v>0</x:v>
      </x:c>
      <x:c r="T55" s="4" t="b">
        <x:v>1</x:v>
      </x:c>
      <x:c r="U55" s="4" t="b">
        <x:v>1</x:v>
      </x:c>
      <x:c r="V55" s="4" t="b">
        <x:v>1</x:v>
      </x:c>
      <x:c r="W55" s="4" t="b">
        <x:v>1</x:v>
      </x:c>
      <x:c r="X55" s="4" t="b">
        <x:v>1</x:v>
      </x:c>
    </x:row>
    <x:row r="56" ht="21" customHeight="1">
      <x:c r="A56" s="8" t="n">
        <x:v>46278.83375</x:v>
      </x:c>
      <x:c r="B56" s="3" t="str">
        <x:v>ADAUSDT</x:v>
      </x:c>
      <x:c r="C56" s="3" t="str">
        <x:v>RSI sell signal</x:v>
      </x:c>
      <x:c r="D56" s="9" t="n">
        <x:v>0.13059</x:v>
      </x:c>
      <x:c r="E56" s="3"/>
      <x:c r="F56" s="3" t="str">
        <x:v>gross only; actual fees not recorded</x:v>
      </x:c>
      <x:c r="G56" s="9" t="n">
        <x:v>25.466666666666665</x:v>
      </x:c>
      <x:c r="H56" s="3" t="str">
        <x:v>Latest preceding buy; inferred</x:v>
      </x:c>
      <x:c r="I56" s="3" t="str">
        <x:v>production</x:v>
      </x:c>
      <x:c r="J56" s="3" t="str">
        <x:v>8786509231</x:v>
      </x:c>
      <x:c r="K56" s="3" t="str">
        <x:v>8786499318</x:v>
      </x:c>
      <x:c r="L56" s="8" t="n">
        <x:v>46278.81606481481</x:v>
      </x:c>
      <x:c r="M56" s="9" t="n">
        <x:v>0.2065</x:v>
      </x:c>
      <x:c r="N56" s="9" t="n">
        <x:v>0.2074</x:v>
      </x:c>
      <x:c r="O56" s="9" t="n">
        <x:v>145.1</x:v>
      </x:c>
      <x:c r="P56" s="10" t="n">
        <x:v>728</x:v>
      </x:c>
      <x:c r="Q56" s="10" t="n">
        <x:v>730</x:v>
      </x:c>
      <x:c r="R56" s="4" t="b">
        <x:v>0</x:v>
      </x:c>
      <x:c r="S56" s="4" t="b">
        <x:v>0</x:v>
      </x:c>
      <x:c r="T56" s="4" t="b">
        <x:v>1</x:v>
      </x:c>
      <x:c r="U56" s="4" t="b">
        <x:v>1</x:v>
      </x:c>
      <x:c r="V56" s="4" t="b">
        <x:v>1</x:v>
      </x:c>
      <x:c r="W56" s="4" t="b">
        <x:v>1</x:v>
      </x:c>
      <x:c r="X56" s="4" t="b">
        <x:v>1</x:v>
      </x:c>
    </x:row>
    <x:row r="57" ht="21" customHeight="1">
      <x:c r="A57" s="8" t="n">
        <x:v>46278.83546296296</x:v>
      </x:c>
      <x:c r="B57" s="3" t="str">
        <x:v>DOGEUSDT</x:v>
      </x:c>
      <x:c r="C57" s="3" t="str">
        <x:v>take profit</x:v>
      </x:c>
      <x:c r="D57" s="9" t="n">
        <x:v>0.12138</x:v>
      </x:c>
      <x:c r="E57" s="3"/>
      <x:c r="F57" s="3" t="str">
        <x:v>gross only; actual fees not recorded</x:v>
      </x:c>
      <x:c r="G57" s="9" t="n">
        <x:v>30.716666666666665</x:v>
      </x:c>
      <x:c r="H57" s="3" t="str">
        <x:v>Latest preceding buy; inferred</x:v>
      </x:c>
      <x:c r="I57" s="3" t="str">
        <x:v>production</x:v>
      </x:c>
      <x:c r="J57" s="3" t="str">
        <x:v>14926587543</x:v>
      </x:c>
      <x:c r="K57" s="3" t="str">
        <x:v>14926540306</x:v>
      </x:c>
      <x:c r="L57" s="8" t="n">
        <x:v>46278.81413194445</x:v>
      </x:c>
      <x:c r="M57" s="9" t="n">
        <x:v>0.08381</x:v>
      </x:c>
      <x:c r="N57" s="9" t="n">
        <x:v>0.08415</x:v>
      </x:c>
      <x:c r="O57" s="9" t="n">
        <x:v>357</x:v>
      </x:c>
      <x:c r="P57" s="10" t="n">
        <x:v>726</x:v>
      </x:c>
      <x:c r="Q57" s="10" t="n">
        <x:v>731</x:v>
      </x:c>
      <x:c r="R57" s="4" t="b">
        <x:v>0</x:v>
      </x:c>
      <x:c r="S57" s="4" t="b">
        <x:v>0</x:v>
      </x:c>
      <x:c r="T57" s="4" t="b">
        <x:v>1</x:v>
      </x:c>
      <x:c r="U57" s="4" t="b">
        <x:v>1</x:v>
      </x:c>
      <x:c r="V57" s="4" t="b">
        <x:v>1</x:v>
      </x:c>
      <x:c r="W57" s="4" t="b">
        <x:v>1</x:v>
      </x:c>
      <x:c r="X57" s="4" t="b">
        <x:v>1</x:v>
      </x:c>
    </x:row>
    <x:row r="58" ht="21" customHeight="1">
      <x:c r="A58" s="8" t="n">
        <x:v>46278.83719907407</x:v>
      </x:c>
      <x:c r="B58" s="3" t="str">
        <x:v>XRPUSDT</x:v>
      </x:c>
      <x:c r="C58" s="3" t="str">
        <x:v>take profit</x:v>
      </x:c>
      <x:c r="D58" s="9" t="n">
        <x:v>0.10829</x:v>
      </x:c>
      <x:c r="E58" s="3"/>
      <x:c r="F58" s="3" t="str">
        <x:v>gross only; actual fees not recorded</x:v>
      </x:c>
      <x:c r="G58" s="9" t="n">
        <x:v>33.2</x:v>
      </x:c>
      <x:c r="H58" s="3" t="str">
        <x:v>Latest preceding buy; inferred</x:v>
      </x:c>
      <x:c r="I58" s="3" t="str">
        <x:v>production</x:v>
      </x:c>
      <x:c r="J58" s="3" t="str">
        <x:v>15430864127</x:v>
      </x:c>
      <x:c r="K58" s="3" t="str">
        <x:v>15430812848</x:v>
      </x:c>
      <x:c r="L58" s="8" t="n">
        <x:v>46278.81414351852</x:v>
      </x:c>
      <x:c r="M58" s="9" t="n">
        <x:v>1.3481</x:v>
      </x:c>
      <x:c r="N58" s="9" t="n">
        <x:v>1.353</x:v>
      </x:c>
      <x:c r="O58" s="9" t="n">
        <x:v>22.1</x:v>
      </x:c>
      <x:c r="P58" s="10" t="n">
        <x:v>727</x:v>
      </x:c>
      <x:c r="Q58" s="10" t="n">
        <x:v>732</x:v>
      </x:c>
      <x:c r="R58" s="4" t="b">
        <x:v>0</x:v>
      </x:c>
      <x:c r="S58" s="4" t="b">
        <x:v>0</x:v>
      </x:c>
      <x:c r="T58" s="4" t="b">
        <x:v>1</x:v>
      </x:c>
      <x:c r="U58" s="4" t="b">
        <x:v>1</x:v>
      </x:c>
      <x:c r="V58" s="4" t="b">
        <x:v>1</x:v>
      </x:c>
      <x:c r="W58" s="4" t="b">
        <x:v>1</x:v>
      </x:c>
      <x:c r="X58" s="4" t="b">
        <x:v>1</x:v>
      </x:c>
    </x:row>
    <x:row r="59" ht="21" customHeight="1">
      <x:c r="A59" s="8" t="n">
        <x:v>46278.83980324074</x:v>
      </x:c>
      <x:c r="B59" s="3" t="str">
        <x:v>SOLUSDT</x:v>
      </x:c>
      <x:c r="C59" s="3" t="str">
        <x:v>take profit</x:v>
      </x:c>
      <x:c r="D59" s="9" t="n">
        <x:v>0.1192</x:v>
      </x:c>
      <x:c r="E59" s="3"/>
      <x:c r="F59" s="3" t="str">
        <x:v>gross only; actual fees not recorded</x:v>
      </x:c>
      <x:c r="G59" s="9" t="n">
        <x:v>34.13333333333333</x:v>
      </x:c>
      <x:c r="H59" s="3" t="str">
        <x:v>Latest preceding buy; inferred</x:v>
      </x:c>
      <x:c r="I59" s="3" t="str">
        <x:v>production</x:v>
      </x:c>
      <x:c r="J59" s="3" t="str">
        <x:v>17794236641</x:v>
      </x:c>
      <x:c r="K59" s="3" t="str">
        <x:v>17794185900</x:v>
      </x:c>
      <x:c r="L59" s="8" t="n">
        <x:v>46278.816099537034</x:v>
      </x:c>
      <x:c r="M59" s="9" t="n">
        <x:v>100.62</x:v>
      </x:c>
      <x:c r="N59" s="9" t="n">
        <x:v>101.02</x:v>
      </x:c>
      <x:c r="O59" s="9" t="n">
        <x:v>0.298</x:v>
      </x:c>
      <x:c r="P59" s="10" t="n">
        <x:v>729</x:v>
      </x:c>
      <x:c r="Q59" s="10" t="n">
        <x:v>733</x:v>
      </x:c>
      <x:c r="R59" s="4" t="b">
        <x:v>0</x:v>
      </x:c>
      <x:c r="S59" s="4" t="b">
        <x:v>0</x:v>
      </x:c>
      <x:c r="T59" s="4" t="b">
        <x:v>1</x:v>
      </x:c>
      <x:c r="U59" s="4" t="b">
        <x:v>1</x:v>
      </x:c>
      <x:c r="V59" s="4" t="b">
        <x:v>1</x:v>
      </x:c>
      <x:c r="W59" s="4" t="b">
        <x:v>1</x:v>
      </x:c>
      <x:c r="X59" s="4" t="b">
        <x:v>1</x:v>
      </x:c>
    </x:row>
    <x:row r="60" ht="21" customHeight="1">
      <x:c r="A60" s="8" t="n">
        <x:v>46278.90640046296</x:v>
      </x:c>
      <x:c r="B60" s="3" t="str">
        <x:v>ARBUSDT</x:v>
      </x:c>
      <x:c r="C60" s="3" t="str">
        <x:v>stop loss</x:v>
      </x:c>
      <x:c r="D60" s="9" t="n">
        <x:v>-0.2142</x:v>
      </x:c>
      <x:c r="E60" s="3"/>
      <x:c r="F60" s="3" t="str">
        <x:v>gross only; actual fees not recorded</x:v>
      </x:c>
      <x:c r="G60" s="9" t="n">
        <x:v>30.116666666666667</x:v>
      </x:c>
      <x:c r="H60" s="3" t="str">
        <x:v>Latest preceding buy; inferred</x:v>
      </x:c>
      <x:c r="I60" s="3" t="str">
        <x:v>production</x:v>
      </x:c>
      <x:c r="J60" s="3" t="str">
        <x:v>3678335259</x:v>
      </x:c>
      <x:c r="K60" s="3" t="str">
        <x:v>3678321974</x:v>
      </x:c>
      <x:c r="L60" s="8" t="n">
        <x:v>46278.88548611111</x:v>
      </x:c>
      <x:c r="M60" s="9" t="n">
        <x:v>0.1398</x:v>
      </x:c>
      <x:c r="N60" s="9" t="n">
        <x:v>0.1388</x:v>
      </x:c>
      <x:c r="O60" s="9" t="n">
        <x:v>214.2</x:v>
      </x:c>
      <x:c r="P60" s="10" t="n">
        <x:v>737</x:v>
      </x:c>
      <x:c r="Q60" s="10" t="n">
        <x:v>740</x:v>
      </x:c>
      <x:c r="R60" s="4" t="b">
        <x:v>0</x:v>
      </x:c>
      <x:c r="S60" s="4" t="b">
        <x:v>0</x:v>
      </x:c>
      <x:c r="T60" s="4" t="b">
        <x:v>1</x:v>
      </x:c>
      <x:c r="U60" s="4" t="b">
        <x:v>1</x:v>
      </x:c>
      <x:c r="V60" s="4" t="b">
        <x:v>1</x:v>
      </x:c>
      <x:c r="W60" s="4" t="b">
        <x:v>1</x:v>
      </x:c>
      <x:c r="X60" s="4" t="b">
        <x:v>1</x:v>
      </x:c>
    </x:row>
    <x:row r="61" ht="21" customHeight="1">
      <x:c r="A61" s="8" t="n">
        <x:v>46278.927349537036</x:v>
      </x:c>
      <x:c r="B61" s="3" t="str">
        <x:v>NEARUSDT</x:v>
      </x:c>
      <x:c r="C61" s="3" t="str">
        <x:v>stop loss</x:v>
      </x:c>
      <x:c r="D61" s="9" t="n">
        <x:v>-0.3</x:v>
      </x:c>
      <x:c r="E61" s="3"/>
      <x:c r="F61" s="3" t="str">
        <x:v>gross only; actual fees not recorded</x:v>
      </x:c>
      <x:c r="G61" s="9" t="n">
        <x:v>35.1</x:v>
      </x:c>
      <x:c r="H61" s="3" t="str">
        <x:v>Latest preceding buy; inferred</x:v>
      </x:c>
      <x:c r="I61" s="3" t="str">
        <x:v>production</x:v>
      </x:c>
      <x:c r="J61" s="3" t="str">
        <x:v>5125262718</x:v>
      </x:c>
      <x:c r="K61" s="3" t="str">
        <x:v>5125233505</x:v>
      </x:c>
      <x:c r="L61" s="8" t="n">
        <x:v>46278.902974537035</x:v>
      </x:c>
      <x:c r="M61" s="9" t="n">
        <x:v>2.363</x:v>
      </x:c>
      <x:c r="N61" s="9" t="n">
        <x:v>2.339</x:v>
      </x:c>
      <x:c r="O61" s="9" t="n">
        <x:v>12.5</x:v>
      </x:c>
      <x:c r="P61" s="10" t="n">
        <x:v>739</x:v>
      </x:c>
      <x:c r="Q61" s="10" t="n">
        <x:v>742</x:v>
      </x:c>
      <x:c r="R61" s="4" t="b">
        <x:v>0</x:v>
      </x:c>
      <x:c r="S61" s="4" t="b">
        <x:v>1</x:v>
      </x:c>
      <x:c r="T61" s="4" t="b">
        <x:v>0</x:v>
      </x:c>
      <x:c r="U61" s="4" t="b">
        <x:v>1</x:v>
      </x:c>
      <x:c r="V61" s="4" t="b">
        <x:v>1</x:v>
      </x:c>
      <x:c r="W61" s="4" t="b">
        <x:v>1</x:v>
      </x:c>
      <x:c r="X61" s="4" t="b">
        <x:v>1</x:v>
      </x:c>
    </x:row>
    <x:row r="62" ht="21" customHeight="1">
      <x:c r="A62" s="8" t="n">
        <x:v>46278.92736111111</x:v>
      </x:c>
      <x:c r="B62" s="3" t="str">
        <x:v>ENAUSDT</x:v>
      </x:c>
      <x:c r="C62" s="3" t="str">
        <x:v>stop loss</x:v>
      </x:c>
      <x:c r="D62" s="9" t="n">
        <x:v>-0.21269</x:v>
      </x:c>
      <x:c r="E62" s="3"/>
      <x:c r="F62" s="3" t="str">
        <x:v>gross only; actual fees not recorded</x:v>
      </x:c>
      <x:c r="G62" s="9" t="n">
        <x:v>29.733333333333334</x:v>
      </x:c>
      <x:c r="H62" s="3" t="str">
        <x:v>Latest preceding buy; inferred</x:v>
      </x:c>
      <x:c r="I62" s="3" t="str">
        <x:v>production</x:v>
      </x:c>
      <x:c r="J62" s="3" t="str">
        <x:v>3402838945</x:v>
      </x:c>
      <x:c r="K62" s="3" t="str">
        <x:v>3402827429</x:v>
      </x:c>
      <x:c r="L62" s="8" t="n">
        <x:v>46278.90671296296</x:v>
      </x:c>
      <x:c r="M62" s="9" t="n">
        <x:v>0.1409</x:v>
      </x:c>
      <x:c r="N62" s="9" t="n">
        <x:v>0.1399</x:v>
      </x:c>
      <x:c r="O62" s="9" t="n">
        <x:v>212.69</x:v>
      </x:c>
      <x:c r="P62" s="10" t="n">
        <x:v>741</x:v>
      </x:c>
      <x:c r="Q62" s="10" t="n">
        <x:v>743</x:v>
      </x:c>
      <x:c r="R62" s="4" t="b">
        <x:v>0</x:v>
      </x:c>
      <x:c r="S62" s="4" t="b">
        <x:v>0</x:v>
      </x:c>
      <x:c r="T62" s="4" t="b">
        <x:v>1</x:v>
      </x:c>
      <x:c r="U62" s="4" t="b">
        <x:v>1</x:v>
      </x:c>
      <x:c r="V62" s="4" t="b">
        <x:v>1</x:v>
      </x:c>
      <x:c r="W62" s="4" t="b">
        <x:v>1</x:v>
      </x:c>
      <x:c r="X62" s="4" t="b">
        <x:v>1</x:v>
      </x:c>
    </x:row>
    <x:row r="63" ht="21" customHeight="1">
      <x:c r="A63" s="8" t="n">
        <x:v>46278.92743055556</x:v>
      </x:c>
      <x:c r="B63" s="3" t="str">
        <x:v>HOLOUSDT</x:v>
      </x:c>
      <x:c r="C63" s="3" t="str">
        <x:v>stop loss</x:v>
      </x:c>
      <x:c r="D63" s="9" t="n">
        <x:v>-0.1918</x:v>
      </x:c>
      <x:c r="E63" s="3"/>
      <x:c r="F63" s="3" t="str">
        <x:v>gross only; actual fees not recorded</x:v>
      </x:c>
      <x:c r="G63" s="9" t="n">
        <x:v>105.03333333333333</x:v>
      </x:c>
      <x:c r="H63" s="3" t="str">
        <x:v>Latest preceding buy; inferred</x:v>
      </x:c>
      <x:c r="I63" s="3" t="str">
        <x:v>production</x:v>
      </x:c>
      <x:c r="J63" s="3" t="str">
        <x:v>168479940</x:v>
      </x:c>
      <x:c r="K63" s="3" t="str">
        <x:v>168444625</x:v>
      </x:c>
      <x:c r="L63" s="8" t="n">
        <x:v>46278.85449074074</x:v>
      </x:c>
      <x:c r="M63" s="9" t="n">
        <x:v>0.0625</x:v>
      </x:c>
      <x:c r="N63" s="9" t="n">
        <x:v>0.0621</x:v>
      </x:c>
      <x:c r="O63" s="9" t="n">
        <x:v>479.5</x:v>
      </x:c>
      <x:c r="P63" s="10" t="n">
        <x:v>734</x:v>
      </x:c>
      <x:c r="Q63" s="10" t="n">
        <x:v>745</x:v>
      </x:c>
      <x:c r="R63" s="4" t="b">
        <x:v>0</x:v>
      </x:c>
      <x:c r="S63" s="4" t="b">
        <x:v>0</x:v>
      </x:c>
      <x:c r="T63" s="4" t="b">
        <x:v>1</x:v>
      </x:c>
      <x:c r="U63" s="4" t="b">
        <x:v>1</x:v>
      </x:c>
      <x:c r="V63" s="4" t="b">
        <x:v>1</x:v>
      </x:c>
      <x:c r="W63" s="4" t="b">
        <x:v>1</x:v>
      </x:c>
      <x:c r="X63" s="4" t="b">
        <x:v>1</x:v>
      </x:c>
    </x:row>
    <x:row r="64" ht="21" customHeight="1">
      <x:c r="A64" s="8" t="n">
        <x:v>46278.93790509259</x:v>
      </x:c>
      <x:c r="B64" s="3" t="str">
        <x:v>ZECUSDT</x:v>
      </x:c>
      <x:c r="C64" s="3" t="str">
        <x:v>stop loss</x:v>
      </x:c>
      <x:c r="D64" s="9" t="n">
        <x:v>-0.23842</x:v>
      </x:c>
      <x:c r="E64" s="3"/>
      <x:c r="F64" s="3" t="str">
        <x:v>gross only; actual fees not recorded</x:v>
      </x:c>
      <x:c r="G64" s="9" t="n">
        <x:v>60.1</x:v>
      </x:c>
      <x:c r="H64" s="3" t="str">
        <x:v>Latest preceding buy; inferred</x:v>
      </x:c>
      <x:c r="I64" s="3" t="str">
        <x:v>production</x:v>
      </x:c>
      <x:c r="J64" s="3" t="str">
        <x:v>6096122513</x:v>
      </x:c>
      <x:c r="K64" s="3" t="str">
        <x:v>6095821655</x:v>
      </x:c>
      <x:c r="L64" s="8" t="n">
        <x:v>46278.89616898148</x:v>
      </x:c>
      <x:c r="M64" s="9" t="n">
        <x:v>1106.38</x:v>
      </x:c>
      <x:c r="N64" s="9" t="n">
        <x:v>1097.21</x:v>
      </x:c>
      <x:c r="O64" s="9" t="n">
        <x:v>0.026</x:v>
      </x:c>
      <x:c r="P64" s="10" t="n">
        <x:v>738</x:v>
      </x:c>
      <x:c r="Q64" s="10" t="n">
        <x:v>748</x:v>
      </x:c>
      <x:c r="R64" s="4" t="b">
        <x:v>0</x:v>
      </x:c>
      <x:c r="S64" s="4" t="b">
        <x:v>0</x:v>
      </x:c>
      <x:c r="T64" s="4" t="b">
        <x:v>1</x:v>
      </x:c>
      <x:c r="U64" s="4" t="b">
        <x:v>1</x:v>
      </x:c>
      <x:c r="V64" s="4" t="b">
        <x:v>1</x:v>
      </x:c>
      <x:c r="W64" s="4" t="b">
        <x:v>1</x:v>
      </x:c>
      <x:c r="X64" s="4" t="b">
        <x:v>1</x:v>
      </x:c>
    </x:row>
    <x:row r="65" ht="21" customHeight="1">
      <x:c r="A65" s="8" t="n">
        <x:v>46278.94451388889</x:v>
      </x:c>
      <x:c r="B65" s="3" t="str">
        <x:v>TAOUSDT</x:v>
      </x:c>
      <x:c r="C65" s="3" t="str">
        <x:v>stop loss</x:v>
      </x:c>
      <x:c r="D65" s="9" t="n">
        <x:v>-0.20288</x:v>
      </x:c>
      <x:c r="E65" s="3"/>
      <x:c r="F65" s="3" t="str">
        <x:v>gross only; actual fees not recorded</x:v>
      </x:c>
      <x:c r="G65" s="9" t="n">
        <x:v>19.866666666666667</x:v>
      </x:c>
      <x:c r="H65" s="3" t="str">
        <x:v>Latest preceding buy; inferred</x:v>
      </x:c>
      <x:c r="I65" s="3" t="str">
        <x:v>production</x:v>
      </x:c>
      <x:c r="J65" s="3" t="str">
        <x:v>2569826865</x:v>
      </x:c>
      <x:c r="K65" s="3" t="str">
        <x:v>2569812346</x:v>
      </x:c>
      <x:c r="L65" s="8" t="n">
        <x:v>46278.93071759259</x:v>
      </x:c>
      <x:c r="M65" s="9" t="n">
        <x:v>236.1</x:v>
      </x:c>
      <x:c r="N65" s="9" t="n">
        <x:v>234.5</x:v>
      </x:c>
      <x:c r="O65" s="9" t="n">
        <x:v>0.1268</x:v>
      </x:c>
      <x:c r="P65" s="10" t="n">
        <x:v>747</x:v>
      </x:c>
      <x:c r="Q65" s="10" t="n">
        <x:v>750</x:v>
      </x:c>
      <x:c r="R65" s="4" t="b">
        <x:v>0</x:v>
      </x:c>
      <x:c r="S65" s="4" t="b">
        <x:v>0</x:v>
      </x:c>
      <x:c r="T65" s="4" t="b">
        <x:v>1</x:v>
      </x:c>
      <x:c r="U65" s="4" t="b">
        <x:v>1</x:v>
      </x:c>
      <x:c r="V65" s="4" t="b">
        <x:v>1</x:v>
      </x:c>
      <x:c r="W65" s="4" t="b">
        <x:v>1</x:v>
      </x:c>
      <x:c r="X65" s="4" t="b">
        <x:v>1</x:v>
      </x:c>
    </x:row>
    <x:row r="66" ht="21" customHeight="1">
      <x:c r="A66" s="8" t="n">
        <x:v>46278.951689814814</x:v>
      </x:c>
      <x:c r="B66" s="3" t="str">
        <x:v>SUIUSDT</x:v>
      </x:c>
      <x:c r="C66" s="3" t="str">
        <x:v>stop loss</x:v>
      </x:c>
      <x:c r="D66" s="9" t="n">
        <x:v>-0.1245</x:v>
      </x:c>
      <x:c r="E66" s="3"/>
      <x:c r="F66" s="3" t="str">
        <x:v>gross only; actual fees not recorded</x:v>
      </x:c>
      <x:c r="G66" s="9" t="n">
        <x:v>35</x:v>
      </x:c>
      <x:c r="H66" s="3" t="str">
        <x:v>Latest preceding buy; inferred</x:v>
      </x:c>
      <x:c r="I66" s="3" t="str">
        <x:v>production</x:v>
      </x:c>
      <x:c r="J66" s="3" t="str">
        <x:v>8850238218</x:v>
      </x:c>
      <x:c r="K66" s="3" t="str">
        <x:v>8850211153</x:v>
      </x:c>
      <x:c r="L66" s="8" t="n">
        <x:v>46278.92738425926</x:v>
      </x:c>
      <x:c r="M66" s="9" t="n">
        <x:v>0.7213</x:v>
      </x:c>
      <x:c r="N66" s="9" t="n">
        <x:v>0.7183</x:v>
      </x:c>
      <x:c r="O66" s="9" t="n">
        <x:v>41.5</x:v>
      </x:c>
      <x:c r="P66" s="10" t="n">
        <x:v>744</x:v>
      </x:c>
      <x:c r="Q66" s="10" t="n">
        <x:v>752</x:v>
      </x:c>
      <x:c r="R66" s="4" t="b">
        <x:v>0</x:v>
      </x:c>
      <x:c r="S66" s="4" t="b">
        <x:v>0</x:v>
      </x:c>
      <x:c r="T66" s="4" t="b">
        <x:v>1</x:v>
      </x:c>
      <x:c r="U66" s="4" t="b">
        <x:v>1</x:v>
      </x:c>
      <x:c r="V66" s="4" t="b">
        <x:v>1</x:v>
      </x:c>
      <x:c r="W66" s="4" t="b">
        <x:v>1</x:v>
      </x:c>
      <x:c r="X66" s="4" t="b">
        <x:v>1</x:v>
      </x:c>
    </x:row>
    <x:row r="67" ht="21" customHeight="1">
      <x:c r="A67" s="8" t="n">
        <x:v>46278.97217592593</x:v>
      </x:c>
      <x:c r="B67" s="3" t="str">
        <x:v>LTCUSDT</x:v>
      </x:c>
      <x:c r="C67" s="3" t="str">
        <x:v>take profit</x:v>
      </x:c>
      <x:c r="D67" s="9" t="n">
        <x:v>0.12012</x:v>
      </x:c>
      <x:c r="E67" s="3"/>
      <x:c r="F67" s="3" t="str">
        <x:v>gross only; actual fees not recorded</x:v>
      </x:c>
      <x:c r="G67" s="9" t="n">
        <x:v>39.8</x:v>
      </x:c>
      <x:c r="H67" s="3" t="str">
        <x:v>Latest preceding buy; inferred</x:v>
      </x:c>
      <x:c r="I67" s="3" t="str">
        <x:v>production</x:v>
      </x:c>
      <x:c r="J67" s="3" t="str">
        <x:v>7421436844</x:v>
      </x:c>
      <x:c r="K67" s="3" t="str">
        <x:v>7421419184</x:v>
      </x:c>
      <x:c r="L67" s="8" t="n">
        <x:v>46278.94453703704</x:v>
      </x:c>
      <x:c r="M67" s="9" t="n">
        <x:v>54.77</x:v>
      </x:c>
      <x:c r="N67" s="9" t="n">
        <x:v>54.99</x:v>
      </x:c>
      <x:c r="O67" s="9" t="n">
        <x:v>0.546</x:v>
      </x:c>
      <x:c r="P67" s="10" t="n">
        <x:v>751</x:v>
      </x:c>
      <x:c r="Q67" s="10" t="n">
        <x:v>754</x:v>
      </x:c>
      <x:c r="R67" s="4" t="b">
        <x:v>0</x:v>
      </x:c>
      <x:c r="S67" s="4" t="b">
        <x:v>1</x:v>
      </x:c>
      <x:c r="T67" s="4" t="b">
        <x:v>1</x:v>
      </x:c>
      <x:c r="U67" s="4" t="b">
        <x:v>0</x:v>
      </x:c>
      <x:c r="V67" s="4" t="b">
        <x:v>1</x:v>
      </x:c>
      <x:c r="W67" s="4" t="b">
        <x:v>1</x:v>
      </x:c>
      <x:c r="X67" s="4" t="b">
        <x:v>1</x:v>
      </x:c>
    </x:row>
    <x:row r="68" ht="21" customHeight="1">
      <x:c r="A68" s="8" t="n">
        <x:v>46278.976805555554</x:v>
      </x:c>
      <x:c r="B68" s="3" t="str">
        <x:v>SOLUSDT</x:v>
      </x:c>
      <x:c r="C68" s="3" t="str">
        <x:v>take profit</x:v>
      </x:c>
      <x:c r="D68" s="9" t="n">
        <x:v>0.11583</x:v>
      </x:c>
      <x:c r="E68" s="3"/>
      <x:c r="F68" s="3" t="str">
        <x:v>gross only; actual fees not recorded</x:v>
      </x:c>
      <x:c r="G68" s="9" t="n">
        <x:v>156</x:v>
      </x:c>
      <x:c r="H68" s="3" t="str">
        <x:v>Latest preceding buy; inferred</x:v>
      </x:c>
      <x:c r="I68" s="3" t="str">
        <x:v>production</x:v>
      </x:c>
      <x:c r="J68" s="3" t="str">
        <x:v>17794510150</x:v>
      </x:c>
      <x:c r="K68" s="3" t="str">
        <x:v>17794316742</x:v>
      </x:c>
      <x:c r="L68" s="8" t="n">
        <x:v>46278.868472222224</x:v>
      </x:c>
      <x:c r="M68" s="9" t="n">
        <x:v>100.98</x:v>
      </x:c>
      <x:c r="N68" s="9" t="n">
        <x:v>101.37</x:v>
      </x:c>
      <x:c r="O68" s="9" t="n">
        <x:v>0.297</x:v>
      </x:c>
      <x:c r="P68" s="10" t="n">
        <x:v>735</x:v>
      </x:c>
      <x:c r="Q68" s="10" t="n">
        <x:v>756</x:v>
      </x:c>
      <x:c r="R68" s="4" t="b">
        <x:v>0</x:v>
      </x:c>
      <x:c r="S68" s="4" t="b">
        <x:v>0</x:v>
      </x:c>
      <x:c r="T68" s="4" t="b">
        <x:v>1</x:v>
      </x:c>
      <x:c r="U68" s="4" t="b">
        <x:v>1</x:v>
      </x:c>
      <x:c r="V68" s="4" t="b">
        <x:v>1</x:v>
      </x:c>
      <x:c r="W68" s="4" t="b">
        <x:v>1</x:v>
      </x:c>
      <x:c r="X68" s="4" t="b">
        <x:v>1</x:v>
      </x:c>
    </x:row>
    <x:row r="69" ht="21" customHeight="1">
      <x:c r="A69" s="8" t="n">
        <x:v>46278.98065972222</x:v>
      </x:c>
      <x:c r="B69" s="3" t="str">
        <x:v>XRPUSDT</x:v>
      </x:c>
      <x:c r="C69" s="3" t="str">
        <x:v>take profit</x:v>
      </x:c>
      <x:c r="D69" s="9" t="n">
        <x:v>0.11492</x:v>
      </x:c>
      <x:c r="E69" s="3"/>
      <x:c r="F69" s="3" t="str">
        <x:v>gross only; actual fees not recorded</x:v>
      </x:c>
      <x:c r="G69" s="9" t="n">
        <x:v>71.95</x:v>
      </x:c>
      <x:c r="H69" s="3" t="str">
        <x:v>Latest preceding buy; inferred</x:v>
      </x:c>
      <x:c r="I69" s="3" t="str">
        <x:v>production</x:v>
      </x:c>
      <x:c r="J69" s="3" t="str">
        <x:v>15431198288</x:v>
      </x:c>
      <x:c r="K69" s="3" t="str">
        <x:v>15431127950</x:v>
      </x:c>
      <x:c r="L69" s="8" t="n">
        <x:v>46278.93069444445</x:v>
      </x:c>
      <x:c r="M69" s="9" t="n">
        <x:v>1.3542</x:v>
      </x:c>
      <x:c r="N69" s="9" t="n">
        <x:v>1.3594</x:v>
      </x:c>
      <x:c r="O69" s="9" t="n">
        <x:v>22.1</x:v>
      </x:c>
      <x:c r="P69" s="10" t="n">
        <x:v>746</x:v>
      </x:c>
      <x:c r="Q69" s="10" t="n">
        <x:v>758</x:v>
      </x:c>
      <x:c r="R69" s="4" t="b">
        <x:v>0</x:v>
      </x:c>
      <x:c r="S69" s="4" t="b">
        <x:v>0</x:v>
      </x:c>
      <x:c r="T69" s="4" t="b">
        <x:v>1</x:v>
      </x:c>
      <x:c r="U69" s="4" t="b">
        <x:v>1</x:v>
      </x:c>
      <x:c r="V69" s="4" t="b">
        <x:v>1</x:v>
      </x:c>
      <x:c r="W69" s="4" t="b">
        <x:v>1</x:v>
      </x:c>
      <x:c r="X69" s="4" t="b">
        <x:v>1</x:v>
      </x:c>
    </x:row>
    <x:row r="70" ht="21" customHeight="1">
      <x:c r="A70" s="8" t="n">
        <x:v>46279.00378472222</x:v>
      </x:c>
      <x:c r="B70" s="3" t="str">
        <x:v>LTCUSDT</x:v>
      </x:c>
      <x:c r="C70" s="3" t="str">
        <x:v>stop loss</x:v>
      </x:c>
      <x:c r="D70" s="9" t="n">
        <x:v>-0.0872</x:v>
      </x:c>
      <x:c r="E70" s="3"/>
      <x:c r="F70" s="3" t="str">
        <x:v>gross only; actual fees not recorded</x:v>
      </x:c>
      <x:c r="G70" s="9" t="n">
        <x:v>38.45</x:v>
      </x:c>
      <x:c r="H70" s="3" t="str">
        <x:v>Latest preceding buy; inferred</x:v>
      </x:c>
      <x:c r="I70" s="3" t="str">
        <x:v>production</x:v>
      </x:c>
      <x:c r="J70" s="3" t="str">
        <x:v>7421458075</x:v>
      </x:c>
      <x:c r="K70" s="3" t="str">
        <x:v>7421442159</x:v>
      </x:c>
      <x:c r="L70" s="8" t="n">
        <x:v>46278.97708333333</x:v>
      </x:c>
      <x:c r="M70" s="9" t="n">
        <x:v>54.98</x:v>
      </x:c>
      <x:c r="N70" s="9" t="n">
        <x:v>54.82</x:v>
      </x:c>
      <x:c r="O70" s="9" t="n">
        <x:v>0.545</x:v>
      </x:c>
      <x:c r="P70" s="10" t="n">
        <x:v>757</x:v>
      </x:c>
      <x:c r="Q70" s="10" t="n">
        <x:v>759</x:v>
      </x:c>
      <x:c r="R70" s="4" t="b">
        <x:v>0</x:v>
      </x:c>
      <x:c r="S70" s="4" t="b">
        <x:v>0</x:v>
      </x:c>
      <x:c r="T70" s="4" t="b">
        <x:v>1</x:v>
      </x:c>
      <x:c r="U70" s="4" t="b">
        <x:v>1</x:v>
      </x:c>
      <x:c r="V70" s="4" t="b">
        <x:v>1</x:v>
      </x:c>
      <x:c r="W70" s="4" t="b">
        <x:v>1</x:v>
      </x:c>
      <x:c r="X70" s="4" t="b">
        <x:v>1</x:v>
      </x:c>
    </x:row>
    <x:row r="71" ht="21" customHeight="1">
      <x:c r="A71" s="8" t="n">
        <x:v>46279.00738425926</x:v>
      </x:c>
      <x:c r="B71" s="3" t="str">
        <x:v>BCHUSDT</x:v>
      </x:c>
      <x:c r="C71" s="3" t="str">
        <x:v>take profit</x:v>
      </x:c>
      <x:c r="D71" s="9" t="n">
        <x:v>0.132</x:v>
      </x:c>
      <x:c r="E71" s="3"/>
      <x:c r="F71" s="3" t="str">
        <x:v>gross only; actual fees not recorded</x:v>
      </x:c>
      <x:c r="G71" s="9" t="n">
        <x:v>185.41666666666666</x:v>
      </x:c>
      <x:c r="H71" s="3" t="str">
        <x:v>Latest preceding buy; inferred</x:v>
      </x:c>
      <x:c r="I71" s="3" t="str">
        <x:v>production</x:v>
      </x:c>
      <x:c r="J71" s="3" t="str">
        <x:v>5500211415</x:v>
      </x:c>
      <x:c r="K71" s="3" t="str">
        <x:v>5500164266</x:v>
      </x:c>
      <x:c r="L71" s="8" t="n">
        <x:v>46278.87862268519</x:v>
      </x:c>
      <x:c r="M71" s="9" t="n">
        <x:v>224.1</x:v>
      </x:c>
      <x:c r="N71" s="9" t="n">
        <x:v>225.1</x:v>
      </x:c>
      <x:c r="O71" s="9" t="n">
        <x:v>0.132</x:v>
      </x:c>
      <x:c r="P71" s="10" t="n">
        <x:v>736</x:v>
      </x:c>
      <x:c r="Q71" s="10" t="n">
        <x:v>761</x:v>
      </x:c>
      <x:c r="R71" s="4" t="b">
        <x:v>0</x:v>
      </x:c>
      <x:c r="S71" s="4" t="b">
        <x:v>0</x:v>
      </x:c>
      <x:c r="T71" s="4" t="b">
        <x:v>1</x:v>
      </x:c>
      <x:c r="U71" s="4" t="b">
        <x:v>1</x:v>
      </x:c>
      <x:c r="V71" s="4" t="b">
        <x:v>1</x:v>
      </x:c>
      <x:c r="W71" s="4" t="b">
        <x:v>1</x:v>
      </x:c>
      <x:c r="X71" s="4" t="b">
        <x:v>1</x:v>
      </x:c>
    </x:row>
    <x:row r="72" ht="21" customHeight="1">
      <x:c r="A72" s="8" t="n">
        <x:v>46279.03854166667</x:v>
      </x:c>
      <x:c r="B72" s="3" t="str">
        <x:v>ADAUSDT</x:v>
      </x:c>
      <x:c r="C72" s="3" t="str">
        <x:v>stop loss</x:v>
      </x:c>
      <x:c r="D72" s="9" t="n">
        <x:v>-0.1435</x:v>
      </x:c>
      <x:c r="E72" s="3"/>
      <x:c r="F72" s="3" t="str">
        <x:v>gross only; actual fees not recorded</x:v>
      </x:c>
      <x:c r="G72" s="9" t="n">
        <x:v>144.85</x:v>
      </x:c>
      <x:c r="H72" s="3" t="str">
        <x:v>Latest preceding buy; inferred</x:v>
      </x:c>
      <x:c r="I72" s="3" t="str">
        <x:v>production</x:v>
      </x:c>
      <x:c r="J72" s="3" t="str">
        <x:v>8786608510</x:v>
      </x:c>
      <x:c r="K72" s="3" t="str">
        <x:v>8786567168</x:v>
      </x:c>
      <x:c r="L72" s="8" t="n">
        <x:v>46278.937951388885</x:v>
      </x:c>
      <x:c r="M72" s="9" t="n">
        <x:v>0.2087</x:v>
      </x:c>
      <x:c r="N72" s="9" t="n">
        <x:v>0.2077</x:v>
      </x:c>
      <x:c r="O72" s="9" t="n">
        <x:v>143.5</x:v>
      </x:c>
      <x:c r="P72" s="10" t="n">
        <x:v>749</x:v>
      </x:c>
      <x:c r="Q72" s="10" t="n">
        <x:v>764</x:v>
      </x:c>
      <x:c r="R72" s="4" t="b">
        <x:v>0</x:v>
      </x:c>
      <x:c r="S72" s="4" t="b">
        <x:v>0</x:v>
      </x:c>
      <x:c r="T72" s="4" t="b">
        <x:v>1</x:v>
      </x:c>
      <x:c r="U72" s="4" t="b">
        <x:v>1</x:v>
      </x:c>
      <x:c r="V72" s="4" t="b">
        <x:v>1</x:v>
      </x:c>
      <x:c r="W72" s="4" t="b">
        <x:v>1</x:v>
      </x:c>
      <x:c r="X72" s="4" t="b">
        <x:v>1</x:v>
      </x:c>
    </x:row>
    <x:row r="73" ht="21" customHeight="1">
      <x:c r="A73" s="8" t="n">
        <x:v>46279.04545138889</x:v>
      </x:c>
      <x:c r="B73" s="3" t="str">
        <x:v>BNBUSDT</x:v>
      </x:c>
      <x:c r="C73" s="3" t="str">
        <x:v>stop loss</x:v>
      </x:c>
      <x:c r="D73" s="9" t="n">
        <x:v>-0.0712</x:v>
      </x:c>
      <x:c r="E73" s="3"/>
      <x:c r="F73" s="3" t="str">
        <x:v>gross only; actual fees not recorded</x:v>
      </x:c>
      <x:c r="G73" s="9" t="n">
        <x:v>105.35</x:v>
      </x:c>
      <x:c r="H73" s="3" t="str">
        <x:v>Latest preceding buy; inferred</x:v>
      </x:c>
      <x:c r="I73" s="3" t="str">
        <x:v>production</x:v>
      </x:c>
      <x:c r="J73" s="3" t="str">
        <x:v>12596449963</x:v>
      </x:c>
      <x:c r="K73" s="3" t="str">
        <x:v>12596273212</x:v>
      </x:c>
      <x:c r="L73" s="8" t="n">
        <x:v>46278.972291666665</x:v>
      </x:c>
      <x:c r="M73" s="9" t="n">
        <x:v>721.89</x:v>
      </x:c>
      <x:c r="N73" s="9" t="n">
        <x:v>720.11</x:v>
      </x:c>
      <x:c r="O73" s="9" t="n">
        <x:v>0.04</x:v>
      </x:c>
      <x:c r="P73" s="10" t="n">
        <x:v>755</x:v>
      </x:c>
      <x:c r="Q73" s="10" t="n">
        <x:v>765</x:v>
      </x:c>
      <x:c r="R73" s="4" t="b">
        <x:v>0</x:v>
      </x:c>
      <x:c r="S73" s="4" t="b">
        <x:v>1</x:v>
      </x:c>
      <x:c r="T73" s="4" t="b">
        <x:v>1</x:v>
      </x:c>
      <x:c r="U73" s="4" t="b">
        <x:v>1</x:v>
      </x:c>
      <x:c r="V73" s="4" t="b">
        <x:v>0</x:v>
      </x:c>
      <x:c r="W73" s="4" t="b">
        <x:v>1</x:v>
      </x:c>
      <x:c r="X73" s="4" t="b">
        <x:v>1</x:v>
      </x:c>
    </x:row>
    <x:row r="74" ht="21" customHeight="1">
      <x:c r="A74" s="8" t="n">
        <x:v>46279.04546296296</x:v>
      </x:c>
      <x:c r="B74" s="3" t="str">
        <x:v>HOLOUSDT</x:v>
      </x:c>
      <x:c r="C74" s="3" t="str">
        <x:v>stop loss</x:v>
      </x:c>
      <x:c r="D74" s="9" t="n">
        <x:v>-0.43407</x:v>
      </x:c>
      <x:c r="E74" s="3"/>
      <x:c r="F74" s="3" t="str">
        <x:v>gross only; actual fees not recorded</x:v>
      </x:c>
      <x:c r="G74" s="9" t="n">
        <x:v>35.016666666666666</x:v>
      </x:c>
      <x:c r="H74" s="3" t="str">
        <x:v>Latest preceding buy; inferred</x:v>
      </x:c>
      <x:c r="I74" s="3" t="str">
        <x:v>production</x:v>
      </x:c>
      <x:c r="J74" s="3" t="str">
        <x:v>168527618</x:v>
      </x:c>
      <x:c r="K74" s="3" t="str">
        <x:v>168502008</x:v>
      </x:c>
      <x:c r="L74" s="8" t="n">
        <x:v>46279.021145833336</x:v>
      </x:c>
      <x:c r="M74" s="9" t="n">
        <x:v>0.0622</x:v>
      </x:c>
      <x:c r="N74" s="9" t="n">
        <x:v>0.0613</x:v>
      </x:c>
      <x:c r="O74" s="9" t="n">
        <x:v>482.3</x:v>
      </x:c>
      <x:c r="P74" s="10" t="n">
        <x:v>762</x:v>
      </x:c>
      <x:c r="Q74" s="10" t="n">
        <x:v>766</x:v>
      </x:c>
      <x:c r="R74" s="4" t="b">
        <x:v>0</x:v>
      </x:c>
      <x:c r="S74" s="4" t="b">
        <x:v>0</x:v>
      </x:c>
      <x:c r="T74" s="4" t="b">
        <x:v>1</x:v>
      </x:c>
      <x:c r="U74" s="4" t="b">
        <x:v>1</x:v>
      </x:c>
      <x:c r="V74" s="4" t="b">
        <x:v>1</x:v>
      </x:c>
      <x:c r="W74" s="4" t="b">
        <x:v>1</x:v>
      </x:c>
      <x:c r="X74" s="4" t="b">
        <x:v>1</x:v>
      </x:c>
    </x:row>
    <x:row r="75" ht="21" customHeight="1">
      <x:c r="A75" s="8" t="n">
        <x:v>46279.045486111114</x:v>
      </x:c>
      <x:c r="B75" s="3" t="str">
        <x:v>XRPUSDT</x:v>
      </x:c>
      <x:c r="C75" s="3" t="str">
        <x:v>stop loss</x:v>
      </x:c>
      <x:c r="D75" s="9" t="n">
        <x:v>-0.22</x:v>
      </x:c>
      <x:c r="E75" s="3"/>
      <x:c r="F75" s="3" t="str">
        <x:v>gross only; actual fees not recorded</x:v>
      </x:c>
      <x:c r="G75" s="9" t="n">
        <x:v>35</x:v>
      </x:c>
      <x:c r="H75" s="3" t="str">
        <x:v>Latest preceding buy; inferred</x:v>
      </x:c>
      <x:c r="I75" s="3" t="str">
        <x:v>production</x:v>
      </x:c>
      <x:c r="J75" s="3" t="str">
        <x:v>15431385713</x:v>
      </x:c>
      <x:c r="K75" s="3" t="str">
        <x:v>15431267509</x:v>
      </x:c>
      <x:c r="L75" s="8" t="n">
        <x:v>46279.02118055556</x:v>
      </x:c>
      <x:c r="M75" s="9" t="n">
        <x:v>1.359</x:v>
      </x:c>
      <x:c r="N75" s="9" t="n">
        <x:v>1.349</x:v>
      </x:c>
      <x:c r="O75" s="9" t="n">
        <x:v>22</x:v>
      </x:c>
      <x:c r="P75" s="10" t="n">
        <x:v>763</x:v>
      </x:c>
      <x:c r="Q75" s="10" t="n">
        <x:v>767</x:v>
      </x:c>
      <x:c r="R75" s="4" t="b">
        <x:v>0</x:v>
      </x:c>
      <x:c r="S75" s="4" t="b">
        <x:v>0</x:v>
      </x:c>
      <x:c r="T75" s="4" t="b">
        <x:v>1</x:v>
      </x:c>
      <x:c r="U75" s="4" t="b">
        <x:v>1</x:v>
      </x:c>
      <x:c r="V75" s="4" t="b">
        <x:v>1</x:v>
      </x:c>
      <x:c r="W75" s="4" t="b">
        <x:v>1</x:v>
      </x:c>
      <x:c r="X75" s="4" t="b">
        <x:v>1</x:v>
      </x:c>
    </x:row>
    <x:row r="76" ht="21" customHeight="1">
      <x:c r="A76" s="8" t="n">
        <x:v>46279.04553240741</x:v>
      </x:c>
      <x:c r="B76" s="3" t="str">
        <x:v>LTCUSDT</x:v>
      </x:c>
      <x:c r="C76" s="3" t="str">
        <x:v>stop loss</x:v>
      </x:c>
      <x:c r="D76" s="9" t="n">
        <x:v>-0.30085</x:v>
      </x:c>
      <x:c r="E76" s="3"/>
      <x:c r="F76" s="3" t="str">
        <x:v>gross only; actual fees not recorded</x:v>
      </x:c>
      <x:c r="G76" s="9" t="n">
        <x:v>59.56666666666667</x:v>
      </x:c>
      <x:c r="H76" s="3" t="str">
        <x:v>Latest preceding buy; inferred</x:v>
      </x:c>
      <x:c r="I76" s="3" t="str">
        <x:v>production</x:v>
      </x:c>
      <x:c r="J76" s="3" t="str">
        <x:v>7421494381</x:v>
      </x:c>
      <x:c r="K76" s="3" t="str">
        <x:v>7421458504</x:v>
      </x:c>
      <x:c r="L76" s="8" t="n">
        <x:v>46279.004166666666</x:v>
      </x:c>
      <x:c r="M76" s="9" t="n">
        <x:v>54.82</x:v>
      </x:c>
      <x:c r="N76" s="9" t="n">
        <x:v>54.27</x:v>
      </x:c>
      <x:c r="O76" s="9" t="n">
        <x:v>0.547</x:v>
      </x:c>
      <x:c r="P76" s="10" t="n">
        <x:v>760</x:v>
      </x:c>
      <x:c r="Q76" s="10" t="n">
        <x:v>768</x:v>
      </x:c>
      <x:c r="R76" s="4" t="b">
        <x:v>0</x:v>
      </x:c>
      <x:c r="S76" s="4" t="b">
        <x:v>0</x:v>
      </x:c>
      <x:c r="T76" s="4" t="b">
        <x:v>1</x:v>
      </x:c>
      <x:c r="U76" s="4" t="b">
        <x:v>1</x:v>
      </x:c>
      <x:c r="V76" s="4" t="b">
        <x:v>1</x:v>
      </x:c>
      <x:c r="W76" s="4" t="b">
        <x:v>1</x:v>
      </x:c>
      <x:c r="X76" s="4" t="b">
        <x:v>1</x:v>
      </x:c>
    </x:row>
    <x:row r="77" ht="21" customHeight="1">
      <x:c r="A77" s="8" t="n">
        <x:v>46279.04554398148</x:v>
      </x:c>
      <x:c r="B77" s="3" t="str">
        <x:v>LINKUSDT</x:v>
      </x:c>
      <x:c r="C77" s="3" t="str">
        <x:v>stop loss</x:v>
      </x:c>
      <x:c r="D77" s="9" t="n">
        <x:v>-0.3132</x:v>
      </x:c>
      <x:c r="E77" s="3"/>
      <x:c r="F77" s="3" t="str">
        <x:v>gross only; actual fees not recorded</x:v>
      </x:c>
      <x:c r="G77" s="9" t="n">
        <x:v>115.03333333333333</x:v>
      </x:c>
      <x:c r="H77" s="3" t="str">
        <x:v>Latest preceding buy; inferred</x:v>
      </x:c>
      <x:c r="I77" s="3" t="str">
        <x:v>production</x:v>
      </x:c>
      <x:c r="J77" s="3" t="str">
        <x:v>8009686831</x:v>
      </x:c>
      <x:c r="K77" s="3" t="str">
        <x:v>8009569868</x:v>
      </x:c>
      <x:c r="L77" s="8" t="n">
        <x:v>46278.96565972222</x:v>
      </x:c>
      <x:c r="M77" s="9" t="n">
        <x:v>11.447</x:v>
      </x:c>
      <x:c r="N77" s="9" t="n">
        <x:v>11.327</x:v>
      </x:c>
      <x:c r="O77" s="9" t="n">
        <x:v>2.61</x:v>
      </x:c>
      <x:c r="P77" s="10" t="n">
        <x:v>753</x:v>
      </x:c>
      <x:c r="Q77" s="10" t="n">
        <x:v>769</x:v>
      </x:c>
      <x:c r="R77" s="4" t="b">
        <x:v>0</x:v>
      </x:c>
      <x:c r="S77" s="4" t="b">
        <x:v>1</x:v>
      </x:c>
      <x:c r="T77" s="4" t="b">
        <x:v>1</x:v>
      </x:c>
      <x:c r="U77" s="4" t="b">
        <x:v>0</x:v>
      </x:c>
      <x:c r="V77" s="4" t="b">
        <x:v>1</x:v>
      </x:c>
      <x:c r="W77" s="4" t="b">
        <x:v>1</x:v>
      </x:c>
      <x:c r="X77" s="4" t="b">
        <x:v>1</x:v>
      </x:c>
    </x:row>
    <x:row r="78" ht="21" customHeight="1">
      <x:c r="A78" s="8" t="n">
        <x:v>46279.19390046296</x:v>
      </x:c>
      <x:c r="B78" s="3" t="str">
        <x:v>HOLOUSDT</x:v>
      </x:c>
      <x:c r="C78" s="3" t="str">
        <x:v>take profit</x:v>
      </x:c>
      <x:c r="D78" s="9" t="n">
        <x:v>0.19704</x:v>
      </x:c>
      <x:c r="E78" s="3"/>
      <x:c r="F78" s="3" t="str">
        <x:v>gross only; actual fees not recorded</x:v>
      </x:c>
      <x:c r="G78" s="9" t="n">
        <x:v>3.7666666666666666</x:v>
      </x:c>
      <x:c r="H78" s="3" t="str">
        <x:v>Latest preceding buy; inferred</x:v>
      </x:c>
      <x:c r="I78" s="3" t="str">
        <x:v>production</x:v>
      </x:c>
      <x:c r="J78" s="3" t="str">
        <x:v>168603079</x:v>
      </x:c>
      <x:c r="K78" s="3" t="str">
        <x:v>168601438</x:v>
      </x:c>
      <x:c r="L78" s="8" t="n">
        <x:v>46279.19128472222</x:v>
      </x:c>
      <x:c r="M78" s="9" t="n">
        <x:v>0.0609</x:v>
      </x:c>
      <x:c r="N78" s="9" t="n">
        <x:v>0.0613</x:v>
      </x:c>
      <x:c r="O78" s="9" t="n">
        <x:v>492.6</x:v>
      </x:c>
      <x:c r="P78" s="10" t="n">
        <x:v>770</x:v>
      </x:c>
      <x:c r="Q78" s="10" t="n">
        <x:v>771</x:v>
      </x:c>
      <x:c r="R78" s="4" t="b">
        <x:v>0</x:v>
      </x:c>
      <x:c r="S78" s="4" t="b">
        <x:v>1</x:v>
      </x:c>
      <x:c r="T78" s="4" t="b">
        <x:v>1</x:v>
      </x:c>
      <x:c r="U78" s="4" t="b">
        <x:v>1</x:v>
      </x:c>
      <x:c r="V78" s="4" t="b">
        <x:v>1</x:v>
      </x:c>
      <x:c r="W78" s="4" t="b">
        <x:v>1</x:v>
      </x:c>
      <x:c r="X78" s="4" t="b">
        <x:v>0</x:v>
      </x:c>
    </x:row>
    <x:row r="79" ht="21" customHeight="1">
      <x:c r="A79" s="8" t="n">
        <x:v>46279.2031712963</x:v>
      </x:c>
      <x:c r="B79" s="3" t="str">
        <x:v>HOLOUSDT</x:v>
      </x:c>
      <x:c r="C79" s="3" t="str">
        <x:v>take profit</x:v>
      </x:c>
      <x:c r="D79" s="9" t="n">
        <x:v>0.1954</x:v>
      </x:c>
      <x:c r="E79" s="3"/>
      <x:c r="F79" s="3" t="str">
        <x:v>gross only; actual fees not recorded</x:v>
      </x:c>
      <x:c r="G79" s="9" t="n">
        <x:v>12</x:v>
      </x:c>
      <x:c r="H79" s="3" t="str">
        <x:v>Latest preceding buy; inferred</x:v>
      </x:c>
      <x:c r="I79" s="3" t="str">
        <x:v>production</x:v>
      </x:c>
      <x:c r="J79" s="3" t="str">
        <x:v>168606421</x:v>
      </x:c>
      <x:c r="K79" s="3" t="str">
        <x:v>168603643</x:v>
      </x:c>
      <x:c r="L79" s="8" t="n">
        <x:v>46279.19483796296</x:v>
      </x:c>
      <x:c r="M79" s="9" t="n">
        <x:v>0.0614</x:v>
      </x:c>
      <x:c r="N79" s="9" t="n">
        <x:v>0.0618</x:v>
      </x:c>
      <x:c r="O79" s="9" t="n">
        <x:v>488.5</x:v>
      </x:c>
      <x:c r="P79" s="10" t="n">
        <x:v>772</x:v>
      </x:c>
      <x:c r="Q79" s="10" t="n">
        <x:v>773</x:v>
      </x:c>
      <x:c r="R79" s="4" t="b">
        <x:v>0</x:v>
      </x:c>
      <x:c r="S79" s="4" t="b">
        <x:v>1</x:v>
      </x:c>
      <x:c r="T79" s="4" t="b">
        <x:v>0</x:v>
      </x:c>
      <x:c r="U79" s="4" t="b">
        <x:v>1</x:v>
      </x:c>
      <x:c r="V79" s="4" t="b">
        <x:v>1</x:v>
      </x:c>
      <x:c r="W79" s="4" t="b">
        <x:v>1</x:v>
      </x:c>
      <x:c r="X79" s="4" t="b">
        <x:v>1</x:v>
      </x:c>
    </x:row>
    <x:row r="80" ht="21" customHeight="1">
      <x:c r="A80" s="8" t="n">
        <x:v>46279.277974537035</x:v>
      </x:c>
      <x:c r="B80" s="3" t="str">
        <x:v>HOLOUSDT</x:v>
      </x:c>
      <x:c r="C80" s="3" t="str">
        <x:v>stop loss</x:v>
      </x:c>
      <x:c r="D80" s="9" t="n">
        <x:v>-0.29124</x:v>
      </x:c>
      <x:c r="E80" s="3"/>
      <x:c r="F80" s="3" t="str">
        <x:v>gross only; actual fees not recorded</x:v>
      </x:c>
      <x:c r="G80" s="9" t="n">
        <x:v>20.233333333333334</x:v>
      </x:c>
      <x:c r="H80" s="3" t="str">
        <x:v>Latest preceding buy; inferred</x:v>
      </x:c>
      <x:c r="I80" s="3" t="str">
        <x:v>production</x:v>
      </x:c>
      <x:c r="J80" s="3" t="str">
        <x:v>168636250</x:v>
      </x:c>
      <x:c r="K80" s="3" t="str">
        <x:v>168630830</x:v>
      </x:c>
      <x:c r="L80" s="8" t="n">
        <x:v>46279.26392361111</x:v>
      </x:c>
      <x:c r="M80" s="9" t="n">
        <x:v>0.0618</x:v>
      </x:c>
      <x:c r="N80" s="9" t="n">
        <x:v>0.0612</x:v>
      </x:c>
      <x:c r="O80" s="9" t="n">
        <x:v>485.4</x:v>
      </x:c>
      <x:c r="P80" s="10" t="n">
        <x:v>774</x:v>
      </x:c>
      <x:c r="Q80" s="10" t="n">
        <x:v>778</x:v>
      </x:c>
      <x:c r="R80" s="4" t="b">
        <x:v>0</x:v>
      </x:c>
      <x:c r="S80" s="4" t="b">
        <x:v>0</x:v>
      </x:c>
      <x:c r="T80" s="4" t="b">
        <x:v>1</x:v>
      </x:c>
      <x:c r="U80" s="4" t="b">
        <x:v>1</x:v>
      </x:c>
      <x:c r="V80" s="4" t="b">
        <x:v>1</x:v>
      </x:c>
      <x:c r="W80" s="4" t="b">
        <x:v>1</x:v>
      </x:c>
      <x:c r="X80" s="4" t="b">
        <x:v>1</x:v>
      </x:c>
    </x:row>
    <x:row r="81" ht="21" customHeight="1">
      <x:c r="A81" s="8" t="n">
        <x:v>46279.30789351852</x:v>
      </x:c>
      <x:c r="B81" s="3" t="str">
        <x:v>LINKUSDT</x:v>
      </x:c>
      <x:c r="C81" s="3" t="str">
        <x:v>take profit</x:v>
      </x:c>
      <x:c r="D81" s="9" t="n">
        <x:v>0.13464</x:v>
      </x:c>
      <x:c r="E81" s="3"/>
      <x:c r="F81" s="3" t="str">
        <x:v>gross only; actual fees not recorded</x:v>
      </x:c>
      <x:c r="G81" s="9" t="n">
        <x:v>33.31666666666667</x:v>
      </x:c>
      <x:c r="H81" s="3" t="str">
        <x:v>Latest preceding buy; inferred</x:v>
      </x:c>
      <x:c r="I81" s="3" t="str">
        <x:v>production</x:v>
      </x:c>
      <x:c r="J81" s="3" t="str">
        <x:v>8010388555</x:v>
      </x:c>
      <x:c r="K81" s="3" t="str">
        <x:v>8010355466</x:v>
      </x:c>
      <x:c r="L81" s="8" t="n">
        <x:v>46279.28475694444</x:v>
      </x:c>
      <x:c r="M81" s="9" t="n">
        <x:v>11.358</x:v>
      </x:c>
      <x:c r="N81" s="9" t="n">
        <x:v>11.409</x:v>
      </x:c>
      <x:c r="O81" s="9" t="n">
        <x:v>2.64</x:v>
      </x:c>
      <x:c r="P81" s="10" t="n">
        <x:v>781</x:v>
      </x:c>
      <x:c r="Q81" s="10" t="n">
        <x:v>782</x:v>
      </x:c>
      <x:c r="R81" s="4" t="b">
        <x:v>0</x:v>
      </x:c>
      <x:c r="S81" s="4" t="b">
        <x:v>0</x:v>
      </x:c>
      <x:c r="T81" s="4" t="b">
        <x:v>1</x:v>
      </x:c>
      <x:c r="U81" s="4" t="b">
        <x:v>1</x:v>
      </x:c>
      <x:c r="V81" s="4" t="b">
        <x:v>1</x:v>
      </x:c>
      <x:c r="W81" s="4" t="b">
        <x:v>1</x:v>
      </x:c>
      <x:c r="X81" s="4" t="b">
        <x:v>1</x:v>
      </x:c>
    </x:row>
    <x:row r="82" ht="21" customHeight="1">
      <x:c r="A82" s="8" t="n">
        <x:v>46279.31974537037</x:v>
      </x:c>
      <x:c r="B82" s="3" t="str">
        <x:v>BCHUSDT</x:v>
      </x:c>
      <x:c r="C82" s="3" t="str">
        <x:v>take profit</x:v>
      </x:c>
      <x:c r="D82" s="9" t="n">
        <x:v>0.134</x:v>
      </x:c>
      <x:c r="E82" s="3"/>
      <x:c r="F82" s="3" t="str">
        <x:v>gross only; actual fees not recorded</x:v>
      </x:c>
      <x:c r="G82" s="9" t="n">
        <x:v>59.95</x:v>
      </x:c>
      <x:c r="H82" s="3" t="str">
        <x:v>Latest preceding buy; inferred</x:v>
      </x:c>
      <x:c r="I82" s="3" t="str">
        <x:v>production</x:v>
      </x:c>
      <x:c r="J82" s="3" t="str">
        <x:v>5500507836</x:v>
      </x:c>
      <x:c r="K82" s="3" t="str">
        <x:v>5500482071</x:v>
      </x:c>
      <x:c r="L82" s="8" t="n">
        <x:v>46279.27811342593</x:v>
      </x:c>
      <x:c r="M82" s="9" t="n">
        <x:v>223.6</x:v>
      </x:c>
      <x:c r="N82" s="9" t="n">
        <x:v>224.6</x:v>
      </x:c>
      <x:c r="O82" s="9" t="n">
        <x:v>0.134</x:v>
      </x:c>
      <x:c r="P82" s="10" t="n">
        <x:v>780</x:v>
      </x:c>
      <x:c r="Q82" s="10" t="n">
        <x:v>784</x:v>
      </x:c>
      <x:c r="R82" s="4" t="b">
        <x:v>0</x:v>
      </x:c>
      <x:c r="S82" s="4" t="b">
        <x:v>0</x:v>
      </x:c>
      <x:c r="T82" s="4" t="b">
        <x:v>1</x:v>
      </x:c>
      <x:c r="U82" s="4" t="b">
        <x:v>1</x:v>
      </x:c>
      <x:c r="V82" s="4" t="b">
        <x:v>1</x:v>
      </x:c>
      <x:c r="W82" s="4" t="b">
        <x:v>1</x:v>
      </x:c>
      <x:c r="X82" s="4" t="b">
        <x:v>1</x:v>
      </x:c>
    </x:row>
    <x:row r="83" ht="21" customHeight="1">
      <x:c r="A83" s="8" t="n">
        <x:v>46279.351018518515</x:v>
      </x:c>
      <x:c r="B83" s="3" t="str">
        <x:v>LTCUSDT</x:v>
      </x:c>
      <x:c r="C83" s="3" t="str">
        <x:v>stop loss</x:v>
      </x:c>
      <x:c r="D83" s="9" t="n">
        <x:v>-0.14352</x:v>
      </x:c>
      <x:c r="E83" s="3"/>
      <x:c r="F83" s="3" t="str">
        <x:v>gross only; actual fees not recorded</x:v>
      </x:c>
      <x:c r="G83" s="9" t="n">
        <x:v>110.28333333333333</x:v>
      </x:c>
      <x:c r="H83" s="3" t="str">
        <x:v>Latest preceding buy; inferred</x:v>
      </x:c>
      <x:c r="I83" s="3" t="str">
        <x:v>production</x:v>
      </x:c>
      <x:c r="J83" s="3" t="str">
        <x:v>7421942164</x:v>
      </x:c>
      <x:c r="K83" s="3" t="str">
        <x:v>7421880443</x:v>
      </x:c>
      <x:c r="L83" s="8" t="n">
        <x:v>46279.27443287037</x:v>
      </x:c>
      <x:c r="M83" s="9" t="n">
        <x:v>54.32</x:v>
      </x:c>
      <x:c r="N83" s="9" t="n">
        <x:v>54.06</x:v>
      </x:c>
      <x:c r="O83" s="9" t="n">
        <x:v>0.552</x:v>
      </x:c>
      <x:c r="P83" s="10" t="n">
        <x:v>777</x:v>
      </x:c>
      <x:c r="Q83" s="10" t="n">
        <x:v>786</x:v>
      </x:c>
      <x:c r="R83" s="4" t="b">
        <x:v>0</x:v>
      </x:c>
      <x:c r="S83" s="4" t="b">
        <x:v>0</x:v>
      </x:c>
      <x:c r="T83" s="4" t="b">
        <x:v>1</x:v>
      </x:c>
      <x:c r="U83" s="4" t="b">
        <x:v>1</x:v>
      </x:c>
      <x:c r="V83" s="4" t="b">
        <x:v>1</x:v>
      </x:c>
      <x:c r="W83" s="4" t="b">
        <x:v>1</x:v>
      </x:c>
      <x:c r="X83" s="4" t="b">
        <x:v>1</x:v>
      </x:c>
    </x:row>
    <x:row r="84" ht="21" customHeight="1">
      <x:c r="A84" s="8" t="n">
        <x:v>46279.35104166667</x:v>
      </x:c>
      <x:c r="B84" s="3" t="str">
        <x:v>WLDUSDT</x:v>
      </x:c>
      <x:c r="C84" s="3" t="str">
        <x:v>stop loss</x:v>
      </x:c>
      <x:c r="D84" s="9" t="n">
        <x:v>-0.20202</x:v>
      </x:c>
      <x:c r="E84" s="3"/>
      <x:c r="F84" s="3" t="str">
        <x:v>gross only; actual fees not recorded</x:v>
      </x:c>
      <x:c r="G84" s="9" t="n">
        <x:v>105.06666666666666</x:v>
      </x:c>
      <x:c r="H84" s="3" t="str">
        <x:v>Latest preceding buy; inferred</x:v>
      </x:c>
      <x:c r="I84" s="3" t="str">
        <x:v>production</x:v>
      </x:c>
      <x:c r="J84" s="3" t="str">
        <x:v>4152958363</x:v>
      </x:c>
      <x:c r="K84" s="3" t="str">
        <x:v>4152898030</x:v>
      </x:c>
      <x:c r="L84" s="8" t="n">
        <x:v>46279.278078703705</x:v>
      </x:c>
      <x:c r="M84" s="9" t="n">
        <x:v>0.3858</x:v>
      </x:c>
      <x:c r="N84" s="9" t="n">
        <x:v>0.3832</x:v>
      </x:c>
      <x:c r="O84" s="9" t="n">
        <x:v>77.7</x:v>
      </x:c>
      <x:c r="P84" s="10" t="n">
        <x:v>779</x:v>
      </x:c>
      <x:c r="Q84" s="10" t="n">
        <x:v>788</x:v>
      </x:c>
      <x:c r="R84" s="4" t="b">
        <x:v>0</x:v>
      </x:c>
      <x:c r="S84" s="4" t="b">
        <x:v>1</x:v>
      </x:c>
      <x:c r="T84" s="4" t="b">
        <x:v>0</x:v>
      </x:c>
      <x:c r="U84" s="4" t="b">
        <x:v>1</x:v>
      </x:c>
      <x:c r="V84" s="4" t="b">
        <x:v>1</x:v>
      </x:c>
      <x:c r="W84" s="4" t="b">
        <x:v>1</x:v>
      </x:c>
      <x:c r="X84" s="4" t="b">
        <x:v>1</x:v>
      </x:c>
    </x:row>
    <x:row r="85" ht="21" customHeight="1">
      <x:c r="A85" s="8" t="n">
        <x:v>46279.351064814815</x:v>
      </x:c>
      <x:c r="B85" s="3" t="str">
        <x:v>SNDKBUSDT</x:v>
      </x:c>
      <x:c r="C85" s="3" t="str">
        <x:v>stop loss</x:v>
      </x:c>
      <x:c r="D85" s="9" t="n">
        <x:v>-0.140385</x:v>
      </x:c>
      <x:c r="E85" s="3"/>
      <x:c r="F85" s="3" t="str">
        <x:v>gross only; actual fees not recorded</x:v>
      </x:c>
      <x:c r="G85" s="9" t="n">
        <x:v>114.95</x:v>
      </x:c>
      <x:c r="H85" s="3" t="str">
        <x:v>Latest preceding buy; inferred</x:v>
      </x:c>
      <x:c r="I85" s="3" t="str">
        <x:v>production</x:v>
      </x:c>
      <x:c r="J85" s="3" t="str">
        <x:v>343400501</x:v>
      </x:c>
      <x:c r="K85" s="3" t="str">
        <x:v>343259552</x:v>
      </x:c>
      <x:c r="L85" s="8" t="n">
        <x:v>46279.27123842593</x:v>
      </x:c>
      <x:c r="M85" s="9" t="n">
        <x:v>1568.69</x:v>
      </x:c>
      <x:c r="N85" s="9" t="n">
        <x:v>1561.34</x:v>
      </x:c>
      <x:c r="O85" s="9" t="n">
        <x:v>0.0191</x:v>
      </x:c>
      <x:c r="P85" s="10" t="n">
        <x:v>775</x:v>
      </x:c>
      <x:c r="Q85" s="10" t="n">
        <x:v>790</x:v>
      </x:c>
      <x:c r="R85" s="4" t="b">
        <x:v>0</x:v>
      </x:c>
      <x:c r="S85" s="4" t="b">
        <x:v>0</x:v>
      </x:c>
      <x:c r="T85" s="4" t="b">
        <x:v>1</x:v>
      </x:c>
      <x:c r="U85" s="4" t="b">
        <x:v>1</x:v>
      </x:c>
      <x:c r="V85" s="4" t="b">
        <x:v>1</x:v>
      </x:c>
      <x:c r="W85" s="4" t="b">
        <x:v>1</x:v>
      </x:c>
      <x:c r="X85" s="4" t="b">
        <x:v>1</x:v>
      </x:c>
    </x:row>
    <x:row r="86" ht="21" customHeight="1">
      <x:c r="A86" s="8" t="n">
        <x:v>46279.368263888886</x:v>
      </x:c>
      <x:c r="B86" s="3" t="str">
        <x:v>TAOUSDT</x:v>
      </x:c>
      <x:c r="C86" s="3" t="str">
        <x:v>stop loss</x:v>
      </x:c>
      <x:c r="D86" s="9" t="n">
        <x:v>-0.20368</x:v>
      </x:c>
      <x:c r="E86" s="3"/>
      <x:c r="F86" s="3" t="str">
        <x:v>gross only; actual fees not recorded</x:v>
      </x:c>
      <x:c r="G86" s="9" t="n">
        <x:v>135.15</x:v>
      </x:c>
      <x:c r="H86" s="3" t="str">
        <x:v>Latest preceding buy; inferred</x:v>
      </x:c>
      <x:c r="I86" s="3" t="str">
        <x:v>production</x:v>
      </x:c>
      <x:c r="J86" s="3" t="str">
        <x:v>2570286030</x:v>
      </x:c>
      <x:c r="K86" s="3" t="str">
        <x:v>2570216819</x:v>
      </x:c>
      <x:c r="L86" s="8" t="n">
        <x:v>46279.274409722224</x:v>
      </x:c>
      <x:c r="M86" s="9" t="n">
        <x:v>235.6</x:v>
      </x:c>
      <x:c r="N86" s="9" t="n">
        <x:v>234</x:v>
      </x:c>
      <x:c r="O86" s="9" t="n">
        <x:v>0.1273</x:v>
      </x:c>
      <x:c r="P86" s="10" t="n">
        <x:v>776</x:v>
      </x:c>
      <x:c r="Q86" s="10" t="n">
        <x:v>792</x:v>
      </x:c>
      <x:c r="R86" s="4" t="b">
        <x:v>0</x:v>
      </x:c>
      <x:c r="S86" s="4" t="b">
        <x:v>0</x:v>
      </x:c>
      <x:c r="T86" s="4" t="b">
        <x:v>1</x:v>
      </x:c>
      <x:c r="U86" s="4" t="b">
        <x:v>1</x:v>
      </x:c>
      <x:c r="V86" s="4" t="b">
        <x:v>1</x:v>
      </x:c>
      <x:c r="W86" s="4" t="b">
        <x:v>1</x:v>
      </x:c>
      <x:c r="X86" s="4" t="b">
        <x:v>1</x:v>
      </x:c>
    </x:row>
    <x:row r="87" ht="21" customHeight="1">
      <x:c r="A87" s="8" t="n">
        <x:v>46279.374398148146</x:v>
      </x:c>
      <x:c r="B87" s="3" t="str">
        <x:v>LINKUSDT</x:v>
      </x:c>
      <x:c r="C87" s="3" t="str">
        <x:v>take profit</x:v>
      </x:c>
      <x:c r="D87" s="9" t="n">
        <x:v>0.10783</x:v>
      </x:c>
      <x:c r="E87" s="3"/>
      <x:c r="F87" s="3" t="str">
        <x:v>gross only; actual fees not recorded</x:v>
      </x:c>
      <x:c r="G87" s="9" t="n">
        <x:v>33.65</x:v>
      </x:c>
      <x:c r="H87" s="3" t="str">
        <x:v>Latest preceding buy; inferred</x:v>
      </x:c>
      <x:c r="I87" s="3" t="str">
        <x:v>production</x:v>
      </x:c>
      <x:c r="J87" s="3" t="str">
        <x:v>8010464372</x:v>
      </x:c>
      <x:c r="K87" s="3" t="str">
        <x:v>8010440753</x:v>
      </x:c>
      <x:c r="L87" s="8" t="n">
        <x:v>46279.35103009259</x:v>
      </x:c>
      <x:c r="M87" s="9" t="n">
        <x:v>11.372</x:v>
      </x:c>
      <x:c r="N87" s="9" t="n">
        <x:v>11.413</x:v>
      </x:c>
      <x:c r="O87" s="9" t="n">
        <x:v>2.63</x:v>
      </x:c>
      <x:c r="P87" s="10" t="n">
        <x:v>787</x:v>
      </x:c>
      <x:c r="Q87" s="10" t="n">
        <x:v>794</x:v>
      </x:c>
      <x:c r="R87" s="4" t="b">
        <x:v>0</x:v>
      </x:c>
      <x:c r="S87" s="4" t="b">
        <x:v>0</x:v>
      </x:c>
      <x:c r="T87" s="4" t="b">
        <x:v>1</x:v>
      </x:c>
      <x:c r="U87" s="4" t="b">
        <x:v>1</x:v>
      </x:c>
      <x:c r="V87" s="4" t="b">
        <x:v>1</x:v>
      </x:c>
      <x:c r="W87" s="4" t="b">
        <x:v>1</x:v>
      </x:c>
      <x:c r="X87" s="4" t="b">
        <x:v>1</x:v>
      </x:c>
    </x:row>
    <x:row r="88" ht="21" customHeight="1">
      <x:c r="A88" s="8" t="n">
        <x:v>46279.37771990741</x:v>
      </x:c>
      <x:c r="B88" s="3" t="str">
        <x:v>TRUMPUSDT</x:v>
      </x:c>
      <x:c r="C88" s="3" t="str">
        <x:v>take profit</x:v>
      </x:c>
      <x:c r="D88" s="9" t="n">
        <x:v>0.135324</x:v>
      </x:c>
      <x:c r="E88" s="3"/>
      <x:c r="F88" s="3" t="str">
        <x:v>gross only; actual fees not recorded</x:v>
      </x:c>
      <x:c r="G88" s="9" t="n">
        <x:v>38.4</x:v>
      </x:c>
      <x:c r="H88" s="3" t="str">
        <x:v>Latest preceding buy; inferred</x:v>
      </x:c>
      <x:c r="I88" s="3" t="str">
        <x:v>production</x:v>
      </x:c>
      <x:c r="J88" s="3" t="str">
        <x:v>2082816015</x:v>
      </x:c>
      <x:c r="K88" s="3" t="str">
        <x:v>2082803160</x:v>
      </x:c>
      <x:c r="L88" s="8" t="n">
        <x:v>46279.35105324074</x:v>
      </x:c>
      <x:c r="M88" s="9" t="n">
        <x:v>1.993</x:v>
      </x:c>
      <x:c r="N88" s="9" t="n">
        <x:v>2.002</x:v>
      </x:c>
      <x:c r="O88" s="9" t="n">
        <x:v>15.036</x:v>
      </x:c>
      <x:c r="P88" s="10" t="n">
        <x:v>789</x:v>
      </x:c>
      <x:c r="Q88" s="10" t="n">
        <x:v>796</x:v>
      </x:c>
      <x:c r="R88" s="4" t="b">
        <x:v>0</x:v>
      </x:c>
      <x:c r="S88" s="4" t="b">
        <x:v>0</x:v>
      </x:c>
      <x:c r="T88" s="4" t="b">
        <x:v>1</x:v>
      </x:c>
      <x:c r="U88" s="4" t="b">
        <x:v>1</x:v>
      </x:c>
      <x:c r="V88" s="4" t="b">
        <x:v>1</x:v>
      </x:c>
      <x:c r="W88" s="4" t="b">
        <x:v>1</x:v>
      </x:c>
      <x:c r="X88" s="4" t="b">
        <x:v>1</x:v>
      </x:c>
    </x:row>
    <x:row r="89" ht="21" customHeight="1">
      <x:c r="A89" s="8" t="n">
        <x:v>46279.377974537034</x:v>
      </x:c>
      <x:c r="B89" s="3" t="str">
        <x:v>SUIUSDT</x:v>
      </x:c>
      <x:c r="C89" s="3" t="str">
        <x:v>take profit</x:v>
      </x:c>
      <x:c r="D89" s="9" t="n">
        <x:v>0.21267</x:v>
      </x:c>
      <x:c r="E89" s="3"/>
      <x:c r="F89" s="3" t="str">
        <x:v>gross only; actual fees not recorded</x:v>
      </x:c>
      <x:c r="G89" s="9" t="n">
        <x:v>3.65</x:v>
      </x:c>
      <x:c r="H89" s="3" t="str">
        <x:v>Latest preceding buy; inferred</x:v>
      </x:c>
      <x:c r="I89" s="3" t="str">
        <x:v>production</x:v>
      </x:c>
      <x:c r="J89" s="3" t="str">
        <x:v>8851551294</x:v>
      </x:c>
      <x:c r="K89" s="3" t="str">
        <x:v>8851535149</x:v>
      </x:c>
      <x:c r="L89" s="8" t="n">
        <x:v>46279.375439814816</x:v>
      </x:c>
      <x:c r="M89" s="9" t="n">
        <x:v>0.7179</x:v>
      </x:c>
      <x:c r="N89" s="9" t="n">
        <x:v>0.723</x:v>
      </x:c>
      <x:c r="O89" s="9" t="n">
        <x:v>41.7</x:v>
      </x:c>
      <x:c r="P89" s="10" t="n">
        <x:v>795</x:v>
      </x:c>
      <x:c r="Q89" s="10" t="n">
        <x:v>797</x:v>
      </x:c>
      <x:c r="R89" s="4" t="b">
        <x:v>0</x:v>
      </x:c>
      <x:c r="S89" s="4" t="b">
        <x:v>0</x:v>
      </x:c>
      <x:c r="T89" s="4" t="b">
        <x:v>1</x:v>
      </x:c>
      <x:c r="U89" s="4" t="b">
        <x:v>1</x:v>
      </x:c>
      <x:c r="V89" s="4" t="b">
        <x:v>1</x:v>
      </x:c>
      <x:c r="W89" s="4" t="b">
        <x:v>1</x:v>
      </x:c>
      <x:c r="X89" s="4" t="b">
        <x:v>1</x:v>
      </x:c>
    </x:row>
    <x:row r="90" ht="21" customHeight="1">
      <x:c r="A90" s="8" t="n">
        <x:v>46279.378958333335</x:v>
      </x:c>
      <x:c r="B90" s="3" t="str">
        <x:v>PUMPUSDT</x:v>
      </x:c>
      <x:c r="C90" s="3" t="str">
        <x:v>take profit</x:v>
      </x:c>
      <x:c r="D90" s="9" t="n">
        <x:v>0.189819</x:v>
      </x:c>
      <x:c r="E90" s="3"/>
      <x:c r="F90" s="3" t="str">
        <x:v>gross only; actual fees not recorded</x:v>
      </x:c>
      <x:c r="G90" s="9" t="n">
        <x:v>39.78333333333333</x:v>
      </x:c>
      <x:c r="H90" s="3" t="str">
        <x:v>Latest preceding buy; inferred</x:v>
      </x:c>
      <x:c r="I90" s="3" t="str">
        <x:v>production</x:v>
      </x:c>
      <x:c r="J90" s="3" t="str">
        <x:v>879726480</x:v>
      </x:c>
      <x:c r="K90" s="3" t="str">
        <x:v>879704141</x:v>
      </x:c>
      <x:c r="L90" s="8" t="n">
        <x:v>46279.351331018515</x:v>
      </x:c>
      <x:c r="M90" s="9" t="n">
        <x:v>0.003631</x:v>
      </x:c>
      <x:c r="N90" s="9" t="n">
        <x:v>0.003654</x:v>
      </x:c>
      <x:c r="O90" s="9" t="n">
        <x:v>8253</x:v>
      </x:c>
      <x:c r="P90" s="10" t="n">
        <x:v>791</x:v>
      </x:c>
      <x:c r="Q90" s="10" t="n">
        <x:v>800</x:v>
      </x:c>
      <x:c r="R90" s="4" t="b">
        <x:v>0</x:v>
      </x:c>
      <x:c r="S90" s="4" t="b">
        <x:v>0</x:v>
      </x:c>
      <x:c r="T90" s="4" t="b">
        <x:v>1</x:v>
      </x:c>
      <x:c r="U90" s="4" t="b">
        <x:v>1</x:v>
      </x:c>
      <x:c r="V90" s="4" t="b">
        <x:v>1</x:v>
      </x:c>
      <x:c r="W90" s="4" t="b">
        <x:v>1</x:v>
      </x:c>
      <x:c r="X90" s="4" t="b">
        <x:v>1</x:v>
      </x:c>
    </x:row>
    <x:row r="91" ht="21" customHeight="1">
      <x:c r="A91" s="8" t="n">
        <x:v>46279.37900462963</x:v>
      </x:c>
      <x:c r="B91" s="3" t="str">
        <x:v>ADAUSDT</x:v>
      </x:c>
      <x:c r="C91" s="3" t="str">
        <x:v>take profit</x:v>
      </x:c>
      <x:c r="D91" s="9" t="n">
        <x:v>0.1446</x:v>
      </x:c>
      <x:c r="E91" s="3"/>
      <x:c r="F91" s="3" t="str">
        <x:v>gross only; actual fees not recorded</x:v>
      </x:c>
      <x:c r="G91" s="9" t="n">
        <x:v>102.21666666666667</x:v>
      </x:c>
      <x:c r="H91" s="3" t="str">
        <x:v>Latest preceding buy; inferred</x:v>
      </x:c>
      <x:c r="I91" s="3" t="str">
        <x:v>production</x:v>
      </x:c>
      <x:c r="J91" s="3" t="str">
        <x:v>8787005382</x:v>
      </x:c>
      <x:c r="K91" s="3" t="str">
        <x:v>8786966570</x:v>
      </x:c>
      <x:c r="L91" s="8" t="n">
        <x:v>46279.308020833334</x:v>
      </x:c>
      <x:c r="M91" s="9" t="n">
        <x:v>0.2074</x:v>
      </x:c>
      <x:c r="N91" s="9" t="n">
        <x:v>0.2084</x:v>
      </x:c>
      <x:c r="O91" s="9" t="n">
        <x:v>144.6</x:v>
      </x:c>
      <x:c r="P91" s="10" t="n">
        <x:v>783</x:v>
      </x:c>
      <x:c r="Q91" s="10" t="n">
        <x:v>801</x:v>
      </x:c>
      <x:c r="R91" s="4" t="b">
        <x:v>0</x:v>
      </x:c>
      <x:c r="S91" s="4" t="b">
        <x:v>0</x:v>
      </x:c>
      <x:c r="T91" s="4" t="b">
        <x:v>1</x:v>
      </x:c>
      <x:c r="U91" s="4" t="b">
        <x:v>1</x:v>
      </x:c>
      <x:c r="V91" s="4" t="b">
        <x:v>1</x:v>
      </x:c>
      <x:c r="W91" s="4" t="b">
        <x:v>1</x:v>
      </x:c>
      <x:c r="X91" s="4" t="b">
        <x:v>1</x:v>
      </x:c>
    </x:row>
    <x:row r="92" ht="21" customHeight="1">
      <x:c r="A92" s="8" t="n">
        <x:v>46279.38</x:v>
      </x:c>
      <x:c r="B92" s="3" t="str">
        <x:v>DOGEUSDT</x:v>
      </x:c>
      <x:c r="C92" s="3" t="str">
        <x:v>take profit</x:v>
      </x:c>
      <x:c r="D92" s="9" t="n">
        <x:v>0.13528</x:v>
      </x:c>
      <x:c r="E92" s="3"/>
      <x:c r="F92" s="3" t="str">
        <x:v>gross only; actual fees not recorded</x:v>
      </x:c>
      <x:c r="G92" s="9" t="n">
        <x:v>16.333333333333332</x:v>
      </x:c>
      <x:c r="H92" s="3" t="str">
        <x:v>Latest preceding buy; inferred</x:v>
      </x:c>
      <x:c r="I92" s="3" t="str">
        <x:v>production</x:v>
      </x:c>
      <x:c r="J92" s="3" t="str">
        <x:v>14928555739</x:v>
      </x:c>
      <x:c r="K92" s="3" t="str">
        <x:v>14928523987</x:v>
      </x:c>
      <x:c r="L92" s="8" t="n">
        <x:v>46279.36865740741</x:v>
      </x:c>
      <x:c r="M92" s="9" t="n">
        <x:v>0.0841</x:v>
      </x:c>
      <x:c r="N92" s="9" t="n">
        <x:v>0.08448</x:v>
      </x:c>
      <x:c r="O92" s="9" t="n">
        <x:v>356</x:v>
      </x:c>
      <x:c r="P92" s="10" t="n">
        <x:v>793</x:v>
      </x:c>
      <x:c r="Q92" s="10" t="n">
        <x:v>802</x:v>
      </x:c>
      <x:c r="R92" s="4" t="b">
        <x:v>0</x:v>
      </x:c>
      <x:c r="S92" s="4" t="b">
        <x:v>0</x:v>
      </x:c>
      <x:c r="T92" s="4" t="b">
        <x:v>1</x:v>
      </x:c>
      <x:c r="U92" s="4" t="b">
        <x:v>1</x:v>
      </x:c>
      <x:c r="V92" s="4" t="b">
        <x:v>1</x:v>
      </x:c>
      <x:c r="W92" s="4" t="b">
        <x:v>1</x:v>
      </x:c>
      <x:c r="X92" s="4" t="b">
        <x:v>1</x:v>
      </x:c>
    </x:row>
    <x:row r="93" ht="21" customHeight="1">
      <x:c r="A93" s="8" t="n">
        <x:v>46279.38008101852</x:v>
      </x:c>
      <x:c r="B93" s="3" t="str">
        <x:v>SOLUSDT</x:v>
      </x:c>
      <x:c r="C93" s="3" t="str">
        <x:v>take profit</x:v>
      </x:c>
      <x:c r="D93" s="9" t="n">
        <x:v>0.11544</x:v>
      </x:c>
      <x:c r="E93" s="3"/>
      <x:c r="F93" s="3" t="str">
        <x:v>gross only; actual fees not recorded</x:v>
      </x:c>
      <x:c r="G93" s="9" t="n">
        <x:v>86.48333333333333</x:v>
      </x:c>
      <x:c r="H93" s="3" t="str">
        <x:v>Latest preceding buy; inferred</x:v>
      </x:c>
      <x:c r="I93" s="3" t="str">
        <x:v>production</x:v>
      </x:c>
      <x:c r="J93" s="3" t="str">
        <x:v>17796640583</x:v>
      </x:c>
      <x:c r="K93" s="3" t="str">
        <x:v>17796484087</x:v>
      </x:c>
      <x:c r="L93" s="8" t="n">
        <x:v>46279.320023148146</x:v>
      </x:c>
      <x:c r="M93" s="9" t="n">
        <x:v>101.2</x:v>
      </x:c>
      <x:c r="N93" s="9" t="n">
        <x:v>101.59</x:v>
      </x:c>
      <x:c r="O93" s="9" t="n">
        <x:v>0.296</x:v>
      </x:c>
      <x:c r="P93" s="10" t="n">
        <x:v>785</x:v>
      </x:c>
      <x:c r="Q93" s="10" t="n">
        <x:v>803</x:v>
      </x:c>
      <x:c r="R93" s="4" t="b">
        <x:v>0</x:v>
      </x:c>
      <x:c r="S93" s="4" t="b">
        <x:v>0</x:v>
      </x:c>
      <x:c r="T93" s="4" t="b">
        <x:v>1</x:v>
      </x:c>
      <x:c r="U93" s="4" t="b">
        <x:v>1</x:v>
      </x:c>
      <x:c r="V93" s="4" t="b">
        <x:v>1</x:v>
      </x:c>
      <x:c r="W93" s="4" t="b">
        <x:v>1</x:v>
      </x:c>
      <x:c r="X93" s="4" t="b">
        <x:v>1</x:v>
      </x:c>
    </x:row>
    <x:row r="94" ht="21" customHeight="1">
      <x:c r="A94" s="8" t="n">
        <x:v>46279.38068287037</x:v>
      </x:c>
      <x:c r="B94" s="3" t="str">
        <x:v>SOLUSDT</x:v>
      </x:c>
      <x:c r="C94" s="3" t="str">
        <x:v>stop loss</x:v>
      </x:c>
      <x:c r="D94" s="9" t="n">
        <x:v>0.02352</x:v>
      </x:c>
      <x:c r="E94" s="3"/>
      <x:c r="F94" s="3" t="str">
        <x:v>gross only; actual fees not recorded</x:v>
      </x:c>
      <x:c r="G94" s="9" t="n">
        <x:v>0.5833333333333334</x:v>
      </x:c>
      <x:c r="H94" s="3" t="str">
        <x:v>Latest preceding buy; inferred</x:v>
      </x:c>
      <x:c r="I94" s="3" t="str">
        <x:v>production</x:v>
      </x:c>
      <x:c r="J94" s="3" t="str">
        <x:v>17796655886</x:v>
      </x:c>
      <x:c r="K94" s="3" t="str">
        <x:v>17796648536</x:v>
      </x:c>
      <x:c r="L94" s="8" t="n">
        <x:v>46279.380277777775</x:v>
      </x:c>
      <x:c r="M94" s="9" t="n">
        <x:v>101.88</x:v>
      </x:c>
      <x:c r="N94" s="9" t="n">
        <x:v>101.96</x:v>
      </x:c>
      <x:c r="O94" s="9" t="n">
        <x:v>0.294</x:v>
      </x:c>
      <x:c r="P94" s="10" t="n">
        <x:v>804</x:v>
      </x:c>
      <x:c r="Q94" s="10" t="n">
        <x:v>805</x:v>
      </x:c>
      <x:c r="R94" s="4" t="b">
        <x:v>0</x:v>
      </x:c>
      <x:c r="S94" s="4" t="b">
        <x:v>0</x:v>
      </x:c>
      <x:c r="T94" s="4" t="b">
        <x:v>1</x:v>
      </x:c>
      <x:c r="U94" s="4" t="b">
        <x:v>1</x:v>
      </x:c>
      <x:c r="V94" s="4" t="b">
        <x:v>1</x:v>
      </x:c>
      <x:c r="W94" s="4" t="b">
        <x:v>1</x:v>
      </x:c>
      <x:c r="X94" s="4" t="b">
        <x:v>1</x:v>
      </x:c>
    </x:row>
    <x:row r="95" ht="21" customHeight="1">
      <x:c r="A95" s="8" t="n">
        <x:v>46279.72457175926</x:v>
      </x:c>
      <x:c r="B95" s="3" t="str">
        <x:v>ETHUSDT</x:v>
      </x:c>
      <x:c r="C95" s="3" t="str">
        <x:v>stop loss</x:v>
      </x:c>
      <x:c r="D95" s="9" t="n">
        <x:v>-0.230256</x:v>
      </x:c>
      <x:c r="E95" s="3"/>
      <x:c r="F95" s="3" t="str">
        <x:v>gross only; actual fees not recorded</x:v>
      </x:c>
      <x:c r="G95" s="9" t="n">
        <x:v>498</x:v>
      </x:c>
      <x:c r="H95" s="3" t="str">
        <x:v>Latest preceding buy; inferred</x:v>
      </x:c>
      <x:c r="I95" s="3" t="str">
        <x:v>production</x:v>
      </x:c>
      <x:c r="J95" s="3" t="str">
        <x:v>49804237087</x:v>
      </x:c>
      <x:c r="K95" s="3" t="str">
        <x:v>49795572253</x:v>
      </x:c>
      <x:c r="L95" s="8" t="n">
        <x:v>46279.37873842593</x:v>
      </x:c>
      <x:c r="M95" s="9" t="n">
        <x:v>2523.65</x:v>
      </x:c>
      <x:c r="N95" s="9" t="n">
        <x:v>2503.97</x:v>
      </x:c>
      <x:c r="O95" s="9" t="n">
        <x:v>0.0117</x:v>
      </x:c>
      <x:c r="P95" s="10" t="n">
        <x:v>798</x:v>
      </x:c>
      <x:c r="Q95" s="10" t="n">
        <x:v>806</x:v>
      </x:c>
      <x:c r="R95" s="4" t="b">
        <x:v>0</x:v>
      </x:c>
      <x:c r="S95" s="4" t="b">
        <x:v>0</x:v>
      </x:c>
      <x:c r="T95" s="4" t="b">
        <x:v>1</x:v>
      </x:c>
      <x:c r="U95" s="4" t="b">
        <x:v>1</x:v>
      </x:c>
      <x:c r="V95" s="4" t="b">
        <x:v>1</x:v>
      </x:c>
      <x:c r="W95" s="4" t="b">
        <x:v>1</x:v>
      </x:c>
      <x:c r="X95" s="4" t="b">
        <x:v>1</x:v>
      </x:c>
    </x:row>
    <x:row r="96" ht="21" customHeight="1">
      <x:c r="A96" s="8" t="n">
        <x:v>46279.72578703704</x:v>
      </x:c>
      <x:c r="B96" s="3" t="str">
        <x:v>BCHUSDT</x:v>
      </x:c>
      <x:c r="C96" s="3" t="str">
        <x:v>stop loss</x:v>
      </x:c>
      <x:c r="D96" s="9" t="n">
        <x:v>-0.2394</x:v>
      </x:c>
      <x:c r="E96" s="3"/>
      <x:c r="F96" s="3" t="str">
        <x:v>gross only; actual fees not recorded</x:v>
      </x:c>
      <x:c r="G96" s="9" t="n">
        <x:v>499.73333333333335</x:v>
      </x:c>
      <x:c r="H96" s="3" t="str">
        <x:v>Latest preceding buy; inferred</x:v>
      </x:c>
      <x:c r="I96" s="3" t="str">
        <x:v>production</x:v>
      </x:c>
      <x:c r="J96" s="3" t="str">
        <x:v>5500822175</x:v>
      </x:c>
      <x:c r="K96" s="3" t="str">
        <x:v>5500535307</x:v>
      </x:c>
      <x:c r="L96" s="8" t="n">
        <x:v>46279.37875</x:v>
      </x:c>
      <x:c r="M96" s="9" t="n">
        <x:v>224.6</x:v>
      </x:c>
      <x:c r="N96" s="9" t="n">
        <x:v>222.8</x:v>
      </x:c>
      <x:c r="O96" s="9" t="n">
        <x:v>0.133</x:v>
      </x:c>
      <x:c r="P96" s="10" t="n">
        <x:v>799</x:v>
      </x:c>
      <x:c r="Q96" s="10" t="n">
        <x:v>807</x:v>
      </x:c>
      <x:c r="R96" s="4" t="b">
        <x:v>0</x:v>
      </x:c>
      <x:c r="S96" s="4" t="b">
        <x:v>1</x:v>
      </x:c>
      <x:c r="T96" s="4" t="b">
        <x:v>0</x:v>
      </x:c>
      <x:c r="U96" s="4" t="b">
        <x:v>1</x:v>
      </x:c>
      <x:c r="V96" s="4" t="b">
        <x:v>1</x:v>
      </x:c>
      <x:c r="W96" s="4" t="b">
        <x:v>1</x:v>
      </x:c>
      <x:c r="X96" s="4" t="b">
        <x:v>1</x:v>
      </x:c>
    </x:row>
    <x:row r="97" ht="21" customHeight="1">
      <x:c r="A97" s="8" t="n">
        <x:v>46279.80415509259</x:v>
      </x:c>
      <x:c r="B97" s="3" t="str">
        <x:v>XRPUSDT</x:v>
      </x:c>
      <x:c r="C97" s="3" t="str">
        <x:v>take profit</x:v>
      </x:c>
      <x:c r="D97" s="9" t="n">
        <x:v>0.2354</x:v>
      </x:c>
      <x:c r="E97" s="3"/>
      <x:c r="F97" s="3" t="str">
        <x:v>gross only; actual fees not recorded</x:v>
      </x:c>
      <x:c r="G97" s="9" t="n">
        <x:v>47.36666666666667</x:v>
      </x:c>
      <x:c r="H97" s="3" t="str">
        <x:v>Latest preceding buy; inferred</x:v>
      </x:c>
      <x:c r="I97" s="3" t="str">
        <x:v>production</x:v>
      </x:c>
      <x:c r="J97" s="3" t="str">
        <x:v>15437217919</x:v>
      </x:c>
      <x:c r="K97" s="3" t="str">
        <x:v>15436904021</x:v>
      </x:c>
      <x:c r="L97" s="8" t="n">
        <x:v>46279.771261574075</x:v>
      </x:c>
      <x:c r="M97" s="9" t="n">
        <x:v>1.4005</x:v>
      </x:c>
      <x:c r="N97" s="9" t="n">
        <x:v>1.4115</x:v>
      </x:c>
      <x:c r="O97" s="9" t="n">
        <x:v>21.4</x:v>
      </x:c>
      <x:c r="P97" s="10" t="n">
        <x:v>808</x:v>
      </x:c>
      <x:c r="Q97" s="10" t="n">
        <x:v>810</x:v>
      </x:c>
      <x:c r="R97" s="4" t="b">
        <x:v>0</x:v>
      </x:c>
      <x:c r="S97" s="4" t="b">
        <x:v>0</x:v>
      </x:c>
      <x:c r="T97" s="4" t="b">
        <x:v>1</x:v>
      </x:c>
      <x:c r="U97" s="4" t="b">
        <x:v>1</x:v>
      </x:c>
      <x:c r="V97" s="4" t="b">
        <x:v>1</x:v>
      </x:c>
      <x:c r="W97" s="4" t="b">
        <x:v>1</x:v>
      </x:c>
      <x:c r="X97" s="4" t="b">
        <x:v>1</x:v>
      </x:c>
    </x:row>
    <x:row r="98" ht="21" customHeight="1">
      <x:c r="A98" s="8" t="n">
        <x:v>46279.804606481484</x:v>
      </x:c>
      <x:c r="B98" s="3" t="str">
        <x:v>DOGEUSDT</x:v>
      </x:c>
      <x:c r="C98" s="3" t="str">
        <x:v>take profit</x:v>
      </x:c>
      <x:c r="D98" s="9" t="n">
        <x:v>0.18564</x:v>
      </x:c>
      <x:c r="E98" s="3"/>
      <x:c r="F98" s="3" t="str">
        <x:v>gross only; actual fees not recorded</x:v>
      </x:c>
      <x:c r="G98" s="9" t="n">
        <x:v>13.133333333333333</x:v>
      </x:c>
      <x:c r="H98" s="3" t="str">
        <x:v>Latest preceding buy; inferred</x:v>
      </x:c>
      <x:c r="I98" s="3" t="str">
        <x:v>production</x:v>
      </x:c>
      <x:c r="J98" s="3" t="str">
        <x:v>14930312581</x:v>
      </x:c>
      <x:c r="K98" s="3" t="str">
        <x:v>14930275039</x:v>
      </x:c>
      <x:c r="L98" s="8" t="n">
        <x:v>46279.795486111114</x:v>
      </x:c>
      <x:c r="M98" s="9" t="n">
        <x:v>0.08394</x:v>
      </x:c>
      <x:c r="N98" s="9" t="n">
        <x:v>0.08446</x:v>
      </x:c>
      <x:c r="O98" s="9" t="n">
        <x:v>357</x:v>
      </x:c>
      <x:c r="P98" s="10" t="n">
        <x:v>809</x:v>
      </x:c>
      <x:c r="Q98" s="10" t="n">
        <x:v>811</x:v>
      </x:c>
      <x:c r="R98" s="4" t="b">
        <x:v>0</x:v>
      </x:c>
      <x:c r="S98" s="4" t="b">
        <x:v>0</x:v>
      </x:c>
      <x:c r="T98" s="4" t="b">
        <x:v>1</x:v>
      </x:c>
      <x:c r="U98" s="4" t="b">
        <x:v>1</x:v>
      </x:c>
      <x:c r="V98" s="4" t="b">
        <x:v>1</x:v>
      </x:c>
      <x:c r="W98" s="4" t="b">
        <x:v>1</x:v>
      </x:c>
      <x:c r="X98" s="4" t="b">
        <x:v>1</x:v>
      </x:c>
    </x:row>
    <x:row r="99" ht="21" customHeight="1">
      <x:c r="A99" s="8" t="n">
        <x:v>46279.854479166665</x:v>
      </x:c>
      <x:c r="B99" s="3" t="str">
        <x:v>THEUSDT</x:v>
      </x:c>
      <x:c r="C99" s="3" t="str">
        <x:v>stop loss</x:v>
      </x:c>
      <x:c r="D99" s="9" t="n">
        <x:v>-0.13539</x:v>
      </x:c>
      <x:c r="E99" s="3"/>
      <x:c r="F99" s="3" t="str">
        <x:v>gross only; actual fees not recorded</x:v>
      </x:c>
      <x:c r="G99" s="9" t="n">
        <x:v>60.4</x:v>
      </x:c>
      <x:c r="H99" s="3" t="str">
        <x:v>Latest preceding buy; inferred</x:v>
      </x:c>
      <x:c r="I99" s="3" t="str">
        <x:v>production</x:v>
      </x:c>
      <x:c r="J99" s="3" t="str">
        <x:v>838978432</x:v>
      </x:c>
      <x:c r="K99" s="3" t="str">
        <x:v>838966742</x:v>
      </x:c>
      <x:c r="L99" s="8" t="n">
        <x:v>46279.81253472222</x:v>
      </x:c>
      <x:c r="M99" s="9" t="n">
        <x:v>0.0664</x:v>
      </x:c>
      <x:c r="N99" s="9" t="n">
        <x:v>0.0661</x:v>
      </x:c>
      <x:c r="O99" s="9" t="n">
        <x:v>451.3</x:v>
      </x:c>
      <x:c r="P99" s="10" t="n">
        <x:v>812</x:v>
      </x:c>
      <x:c r="Q99" s="10" t="n">
        <x:v>813</x:v>
      </x:c>
      <x:c r="R99" s="4" t="b">
        <x:v>0</x:v>
      </x:c>
      <x:c r="S99" s="4" t="b">
        <x:v>0</x:v>
      </x:c>
      <x:c r="T99" s="4" t="b">
        <x:v>1</x:v>
      </x:c>
      <x:c r="U99" s="4" t="b">
        <x:v>1</x:v>
      </x:c>
      <x:c r="V99" s="4" t="b">
        <x:v>1</x:v>
      </x:c>
      <x:c r="W99" s="4" t="b">
        <x:v>1</x:v>
      </x:c>
      <x:c r="X99" s="4" t="b">
        <x:v>1</x:v>
      </x:c>
    </x:row>
    <x:row r="100" ht="21" customHeight="1">
      <x:c r="A100" s="8" t="n">
        <x:v>46279.890231481484</x:v>
      </x:c>
      <x:c r="B100" s="3" t="str">
        <x:v>TRUMPUSDT</x:v>
      </x:c>
      <x:c r="C100" s="3" t="str">
        <x:v>take profit</x:v>
      </x:c>
      <x:c r="D100" s="9" t="n">
        <x:v>0.236112</x:v>
      </x:c>
      <x:c r="E100" s="3"/>
      <x:c r="F100" s="3" t="str">
        <x:v>gross only; actual fees not recorded</x:v>
      </x:c>
      <x:c r="G100" s="9" t="n">
        <x:v>46.8</x:v>
      </x:c>
      <x:c r="H100" s="3" t="str">
        <x:v>Latest preceding buy; inferred</x:v>
      </x:c>
      <x:c r="I100" s="3" t="str">
        <x:v>production</x:v>
      </x:c>
      <x:c r="J100" s="3" t="str">
        <x:v>2083474278</x:v>
      </x:c>
      <x:c r="K100" s="3" t="str">
        <x:v>2083444914</x:v>
      </x:c>
      <x:c r="L100" s="8" t="n">
        <x:v>46279.85773148148</x:v>
      </x:c>
      <x:c r="M100" s="9" t="n">
        <x:v>2.031</x:v>
      </x:c>
      <x:c r="N100" s="9" t="n">
        <x:v>2.047</x:v>
      </x:c>
      <x:c r="O100" s="9" t="n">
        <x:v>14.757</x:v>
      </x:c>
      <x:c r="P100" s="10" t="n">
        <x:v>814</x:v>
      </x:c>
      <x:c r="Q100" s="10" t="n">
        <x:v>817</x:v>
      </x:c>
      <x:c r="R100" s="4" t="b">
        <x:v>0</x:v>
      </x:c>
      <x:c r="S100" s="4" t="b">
        <x:v>0</x:v>
      </x:c>
      <x:c r="T100" s="4" t="b">
        <x:v>1</x:v>
      </x:c>
      <x:c r="U100" s="4" t="b">
        <x:v>1</x:v>
      </x:c>
      <x:c r="V100" s="4" t="b">
        <x:v>1</x:v>
      </x:c>
      <x:c r="W100" s="4" t="b">
        <x:v>1</x:v>
      </x:c>
      <x:c r="X100" s="4" t="b">
        <x:v>1</x:v>
      </x:c>
    </x:row>
    <x:row r="101" ht="21" customHeight="1">
      <x:c r="A101" s="8" t="n">
        <x:v>46279.89145833333</x:v>
      </x:c>
      <x:c r="B101" s="3" t="str">
        <x:v>ADAUSDT</x:v>
      </x:c>
      <x:c r="C101" s="3" t="str">
        <x:v>take profit</x:v>
      </x:c>
      <x:c r="D101" s="9" t="n">
        <x:v>0.25524</x:v>
      </x:c>
      <x:c r="E101" s="3"/>
      <x:c r="F101" s="3" t="str">
        <x:v>gross only; actual fees not recorded</x:v>
      </x:c>
      <x:c r="G101" s="9" t="n">
        <x:v>8.5</x:v>
      </x:c>
      <x:c r="H101" s="3" t="str">
        <x:v>Latest preceding buy; inferred</x:v>
      </x:c>
      <x:c r="I101" s="3" t="str">
        <x:v>production</x:v>
      </x:c>
      <x:c r="J101" s="3" t="str">
        <x:v>8787805953</x:v>
      </x:c>
      <x:c r="K101" s="3" t="str">
        <x:v>8787787515</x:v>
      </x:c>
      <x:c r="L101" s="8" t="n">
        <x:v>46279.88555555556</x:v>
      </x:c>
      <x:c r="M101" s="9" t="n">
        <x:v>0.2113</x:v>
      </x:c>
      <x:c r="N101" s="9" t="n">
        <x:v>0.2131</x:v>
      </x:c>
      <x:c r="O101" s="9" t="n">
        <x:v>141.8</x:v>
      </x:c>
      <x:c r="P101" s="10" t="n">
        <x:v>815</x:v>
      </x:c>
      <x:c r="Q101" s="10" t="n">
        <x:v>818</x:v>
      </x:c>
      <x:c r="R101" s="4" t="b">
        <x:v>0</x:v>
      </x:c>
      <x:c r="S101" s="4" t="b">
        <x:v>0</x:v>
      </x:c>
      <x:c r="T101" s="4" t="b">
        <x:v>1</x:v>
      </x:c>
      <x:c r="U101" s="4" t="b">
        <x:v>1</x:v>
      </x:c>
      <x:c r="V101" s="4" t="b">
        <x:v>1</x:v>
      </x:c>
      <x:c r="W101" s="4" t="b">
        <x:v>1</x:v>
      </x:c>
      <x:c r="X101" s="4" t="b">
        <x:v>1</x:v>
      </x:c>
    </x:row>
    <x:row r="102" ht="21" customHeight="1">
      <x:c r="A102" s="8" t="n">
        <x:v>46279.95515046296</x:v>
      </x:c>
      <x:c r="B102" s="3" t="str">
        <x:v>SNDKBUSDT</x:v>
      </x:c>
      <x:c r="C102" s="3" t="str">
        <x:v>stop loss</x:v>
      </x:c>
      <x:c r="D102" s="9" t="n">
        <x:v>-0.1119282827225131</x:v>
      </x:c>
      <x:c r="E102" s="3"/>
      <x:c r="F102" s="3" t="str">
        <x:v>gross only; actual fees not recorded</x:v>
      </x:c>
      <x:c r="G102" s="9" t="n">
        <x:v>70.15</x:v>
      </x:c>
      <x:c r="H102" s="3" t="str">
        <x:v>Latest preceding buy; inferred</x:v>
      </x:c>
      <x:c r="I102" s="3" t="str">
        <x:v>production</x:v>
      </x:c>
      <x:c r="J102" s="3" t="str">
        <x:v>346460468</x:v>
      </x:c>
      <x:c r="K102" s="3" t="str">
        <x:v>346266058</x:v>
      </x:c>
      <x:c r="L102" s="8" t="n">
        <x:v>46279.906435185185</x:v>
      </x:c>
      <x:c r="M102" s="9" t="n">
        <x:v>1562.867172774869</x:v>
      </x:c>
      <x:c r="N102" s="9" t="n">
        <x:v>1556.9762105263158</x:v>
      </x:c>
      <x:c r="O102" s="9" t="n">
        <x:v>0.019</x:v>
      </x:c>
      <x:c r="P102" s="10" t="n">
        <x:v>819</x:v>
      </x:c>
      <x:c r="Q102" s="10" t="n">
        <x:v>824</x:v>
      </x:c>
      <x:c r="R102" s="4" t="b">
        <x:v>0</x:v>
      </x:c>
      <x:c r="S102" s="4" t="b">
        <x:v>0</x:v>
      </x:c>
      <x:c r="T102" s="4" t="b">
        <x:v>1</x:v>
      </x:c>
      <x:c r="U102" s="4" t="b">
        <x:v>1</x:v>
      </x:c>
      <x:c r="V102" s="4" t="b">
        <x:v>1</x:v>
      </x:c>
      <x:c r="W102" s="4" t="b">
        <x:v>1</x:v>
      </x:c>
      <x:c r="X102" s="4" t="b">
        <x:v>1</x:v>
      </x:c>
    </x:row>
    <x:row r="103" ht="21" customHeight="1">
      <x:c r="A103" s="8" t="n">
        <x:v>46279.96396990741</x:v>
      </x:c>
      <x:c r="B103" s="3" t="str">
        <x:v>ONDOUSDT</x:v>
      </x:c>
      <x:c r="C103" s="3" t="str">
        <x:v>take profit</x:v>
      </x:c>
      <x:c r="D103" s="9" t="n">
        <x:v>0.14994</x:v>
      </x:c>
      <x:c r="E103" s="3"/>
      <x:c r="F103" s="3" t="str">
        <x:v>gross only; actual fees not recorded</x:v>
      </x:c>
      <x:c r="G103" s="9" t="n">
        <x:v>7.766666666666667</x:v>
      </x:c>
      <x:c r="H103" s="3" t="str">
        <x:v>Latest preceding buy; inferred</x:v>
      </x:c>
      <x:c r="I103" s="3" t="str">
        <x:v>production</x:v>
      </x:c>
      <x:c r="J103" s="3" t="str">
        <x:v>1065250571</x:v>
      </x:c>
      <x:c r="K103" s="3" t="str">
        <x:v>1065245601</x:v>
      </x:c>
      <x:c r="L103" s="8" t="n">
        <x:v>46279.95857638889</x:v>
      </x:c>
      <x:c r="M103" s="9" t="n">
        <x:v>0.3594</x:v>
      </x:c>
      <x:c r="N103" s="9" t="n">
        <x:v>0.3612</x:v>
      </x:c>
      <x:c r="O103" s="9" t="n">
        <x:v>83.3</x:v>
      </x:c>
      <x:c r="P103" s="10" t="n">
        <x:v>825</x:v>
      </x:c>
      <x:c r="Q103" s="10" t="n">
        <x:v>826</x:v>
      </x:c>
      <x:c r="R103" s="4" t="b">
        <x:v>0</x:v>
      </x:c>
      <x:c r="S103" s="4" t="b">
        <x:v>0</x:v>
      </x:c>
      <x:c r="T103" s="4" t="b">
        <x:v>1</x:v>
      </x:c>
      <x:c r="U103" s="4" t="b">
        <x:v>1</x:v>
      </x:c>
      <x:c r="V103" s="4" t="b">
        <x:v>1</x:v>
      </x:c>
      <x:c r="W103" s="4" t="b">
        <x:v>1</x:v>
      </x:c>
      <x:c r="X103" s="4" t="b">
        <x:v>1</x:v>
      </x:c>
    </x:row>
    <x:row r="104" ht="21" customHeight="1">
      <x:c r="A104" s="8" t="n">
        <x:v>46279.96710648148</x:v>
      </x:c>
      <x:c r="B104" s="3" t="str">
        <x:v>AVAXUSDT</x:v>
      </x:c>
      <x:c r="C104" s="3" t="str">
        <x:v>take profit</x:v>
      </x:c>
      <x:c r="D104" s="9" t="n">
        <x:v>0.18078</x:v>
      </x:c>
      <x:c r="E104" s="3"/>
      <x:c r="F104" s="3" t="str">
        <x:v>gross only; actual fees not recorded</x:v>
      </x:c>
      <x:c r="G104" s="9" t="n">
        <x:v>77.21666666666667</x:v>
      </x:c>
      <x:c r="H104" s="3" t="str">
        <x:v>Latest preceding buy; inferred</x:v>
      </x:c>
      <x:c r="I104" s="3" t="str">
        <x:v>production</x:v>
      </x:c>
      <x:c r="J104" s="3" t="str">
        <x:v>5735408221</x:v>
      </x:c>
      <x:c r="K104" s="3" t="str">
        <x:v>5735304470</x:v>
      </x:c>
      <x:c r="L104" s="8" t="n">
        <x:v>46279.9134837963</x:v>
      </x:c>
      <x:c r="M104" s="9" t="n">
        <x:v>7.61</x:v>
      </x:c>
      <x:c r="N104" s="9" t="n">
        <x:v>7.656</x:v>
      </x:c>
      <x:c r="O104" s="9" t="n">
        <x:v>3.93</x:v>
      </x:c>
      <x:c r="P104" s="10" t="n">
        <x:v>820</x:v>
      </x:c>
      <x:c r="Q104" s="10" t="n">
        <x:v>827</x:v>
      </x:c>
      <x:c r="R104" s="4" t="b">
        <x:v>0</x:v>
      </x:c>
      <x:c r="S104" s="4" t="b">
        <x:v>0</x:v>
      </x:c>
      <x:c r="T104" s="4" t="b">
        <x:v>1</x:v>
      </x:c>
      <x:c r="U104" s="4" t="b">
        <x:v>1</x:v>
      </x:c>
      <x:c r="V104" s="4" t="b">
        <x:v>1</x:v>
      </x:c>
      <x:c r="W104" s="4" t="b">
        <x:v>1</x:v>
      </x:c>
      <x:c r="X104" s="4" t="b">
        <x:v>1</x:v>
      </x:c>
    </x:row>
    <x:row r="105" ht="21" customHeight="1">
      <x:c r="A105" s="8" t="n">
        <x:v>46279.96722222222</x:v>
      </x:c>
      <x:c r="B105" s="3" t="str">
        <x:v>DOGEUSDT</x:v>
      </x:c>
      <x:c r="C105" s="3" t="str">
        <x:v>take profit</x:v>
      </x:c>
      <x:c r="D105" s="9" t="n">
        <x:v>0.16944</x:v>
      </x:c>
      <x:c r="E105" s="3"/>
      <x:c r="F105" s="3" t="str">
        <x:v>gross only; actual fees not recorded</x:v>
      </x:c>
      <x:c r="G105" s="9" t="n">
        <x:v>67.7</x:v>
      </x:c>
      <x:c r="H105" s="3" t="str">
        <x:v>Latest preceding buy; inferred</x:v>
      </x:c>
      <x:c r="I105" s="3" t="str">
        <x:v>production</x:v>
      </x:c>
      <x:c r="J105" s="3" t="str">
        <x:v>14930914010</x:v>
      </x:c>
      <x:c r="K105" s="3" t="str">
        <x:v>14930780832</x:v>
      </x:c>
      <x:c r="L105" s="8" t="n">
        <x:v>46279.92020833334</x:v>
      </x:c>
      <x:c r="M105" s="9" t="n">
        <x:v>0.08477</x:v>
      </x:c>
      <x:c r="N105" s="9" t="n">
        <x:v>0.08525</x:v>
      </x:c>
      <x:c r="O105" s="9" t="n">
        <x:v>353</x:v>
      </x:c>
      <x:c r="P105" s="10" t="n">
        <x:v>821</x:v>
      </x:c>
      <x:c r="Q105" s="10" t="n">
        <x:v>828</x:v>
      </x:c>
      <x:c r="R105" s="4" t="b">
        <x:v>0</x:v>
      </x:c>
      <x:c r="S105" s="4" t="b">
        <x:v>0</x:v>
      </x:c>
      <x:c r="T105" s="4" t="b">
        <x:v>1</x:v>
      </x:c>
      <x:c r="U105" s="4" t="b">
        <x:v>1</x:v>
      </x:c>
      <x:c r="V105" s="4" t="b">
        <x:v>1</x:v>
      </x:c>
      <x:c r="W105" s="4" t="b">
        <x:v>1</x:v>
      </x:c>
      <x:c r="X105" s="4" t="b">
        <x:v>1</x:v>
      </x:c>
    </x:row>
    <x:row r="106" ht="21" customHeight="1">
      <x:c r="A106" s="8" t="n">
        <x:v>46279.96722222222</x:v>
      </x:c>
      <x:c r="B106" s="3" t="str">
        <x:v>WLDUSDT</x:v>
      </x:c>
      <x:c r="C106" s="3" t="str">
        <x:v>take profit</x:v>
      </x:c>
      <x:c r="D106" s="9" t="n">
        <x:v>0.19864</x:v>
      </x:c>
      <x:c r="E106" s="3"/>
      <x:c r="F106" s="3" t="str">
        <x:v>gross only; actual fees not recorded</x:v>
      </x:c>
      <x:c r="G106" s="9" t="n">
        <x:v>42.233333333333334</x:v>
      </x:c>
      <x:c r="H106" s="3" t="str">
        <x:v>Latest preceding buy; inferred</x:v>
      </x:c>
      <x:c r="I106" s="3" t="str">
        <x:v>production</x:v>
      </x:c>
      <x:c r="J106" s="3" t="str">
        <x:v>4153966656</x:v>
      </x:c>
      <x:c r="K106" s="3" t="str">
        <x:v>4153931090</x:v>
      </x:c>
      <x:c r="L106" s="8" t="n">
        <x:v>46279.937893518516</x:v>
      </x:c>
      <x:c r="M106" s="9" t="n">
        <x:v>0.3917</x:v>
      </x:c>
      <x:c r="N106" s="9" t="n">
        <x:v>0.3943</x:v>
      </x:c>
      <x:c r="O106" s="9" t="n">
        <x:v>76.4</x:v>
      </x:c>
      <x:c r="P106" s="10" t="n">
        <x:v>822</x:v>
      </x:c>
      <x:c r="Q106" s="10" t="n">
        <x:v>829</x:v>
      </x:c>
      <x:c r="R106" s="4" t="b">
        <x:v>0</x:v>
      </x:c>
      <x:c r="S106" s="4" t="b">
        <x:v>0</x:v>
      </x:c>
      <x:c r="T106" s="4" t="b">
        <x:v>1</x:v>
      </x:c>
      <x:c r="U106" s="4" t="b">
        <x:v>1</x:v>
      </x:c>
      <x:c r="V106" s="4" t="b">
        <x:v>1</x:v>
      </x:c>
      <x:c r="W106" s="4" t="b">
        <x:v>1</x:v>
      </x:c>
      <x:c r="X106" s="4" t="b">
        <x:v>1</x:v>
      </x:c>
    </x:row>
    <x:row r="107" ht="21" customHeight="1">
      <x:c r="A107" s="8" t="n">
        <x:v>46279.9672337963</x:v>
      </x:c>
      <x:c r="B107" s="3" t="str">
        <x:v>SOLUSDT</x:v>
      </x:c>
      <x:c r="C107" s="3" t="str">
        <x:v>take profit</x:v>
      </x:c>
      <x:c r="D107" s="9" t="n">
        <x:v>0.1682</x:v>
      </x:c>
      <x:c r="E107" s="3"/>
      <x:c r="F107" s="3" t="str">
        <x:v>gross only; actual fees not recorded</x:v>
      </x:c>
      <x:c r="G107" s="9" t="n">
        <x:v>42.166666666666664</x:v>
      </x:c>
      <x:c r="H107" s="3" t="str">
        <x:v>Latest preceding buy; inferred</x:v>
      </x:c>
      <x:c r="I107" s="3" t="str">
        <x:v>production</x:v>
      </x:c>
      <x:c r="J107" s="3" t="str">
        <x:v>17800609650</x:v>
      </x:c>
      <x:c r="K107" s="3" t="str">
        <x:v>17800436988</x:v>
      </x:c>
      <x:c r="L107" s="8" t="n">
        <x:v>46279.937951388885</x:v>
      </x:c>
      <x:c r="M107" s="9" t="n">
        <x:v>103.31</x:v>
      </x:c>
      <x:c r="N107" s="9" t="n">
        <x:v>103.89</x:v>
      </x:c>
      <x:c r="O107" s="9" t="n">
        <x:v>0.29</x:v>
      </x:c>
      <x:c r="P107" s="10" t="n">
        <x:v>823</x:v>
      </x:c>
      <x:c r="Q107" s="10" t="n">
        <x:v>830</x:v>
      </x:c>
      <x:c r="R107" s="4" t="b">
        <x:v>0</x:v>
      </x:c>
      <x:c r="S107" s="4" t="b">
        <x:v>0</x:v>
      </x:c>
      <x:c r="T107" s="4" t="b">
        <x:v>1</x:v>
      </x:c>
      <x:c r="U107" s="4" t="b">
        <x:v>1</x:v>
      </x:c>
      <x:c r="V107" s="4" t="b">
        <x:v>1</x:v>
      </x:c>
      <x:c r="W107" s="4" t="b">
        <x:v>1</x:v>
      </x:c>
      <x:c r="X107" s="4" t="b">
        <x:v>1</x:v>
      </x:c>
    </x:row>
    <x:row r="108" ht="21" customHeight="1">
      <x:c r="A108" s="8" t="n">
        <x:v>46279.970405092594</x:v>
      </x:c>
      <x:c r="B108" s="3" t="str">
        <x:v>WLDUSDT</x:v>
      </x:c>
      <x:c r="C108" s="3" t="str">
        <x:v>take profit</x:v>
      </x:c>
      <x:c r="D108" s="9" t="n">
        <x:v>0.21196</x:v>
      </x:c>
      <x:c r="E108" s="3"/>
      <x:c r="F108" s="3" t="str">
        <x:v>gross only; actual fees not recorded</x:v>
      </x:c>
      <x:c r="G108" s="9" t="n">
        <x:v>1.95</x:v>
      </x:c>
      <x:c r="H108" s="3" t="str">
        <x:v>Latest preceding buy; inferred</x:v>
      </x:c>
      <x:c r="I108" s="3" t="str">
        <x:v>production</x:v>
      </x:c>
      <x:c r="J108" s="3" t="str">
        <x:v>4153983818</x:v>
      </x:c>
      <x:c r="K108" s="3" t="str">
        <x:v>4153975657</x:v>
      </x:c>
      <x:c r="L108" s="8" t="n">
        <x:v>46279.96905092592</x:v>
      </x:c>
      <x:c r="M108" s="9" t="n">
        <x:v>0.3953</x:v>
      </x:c>
      <x:c r="N108" s="9" t="n">
        <x:v>0.3981</x:v>
      </x:c>
      <x:c r="O108" s="9" t="n">
        <x:v>75.7</x:v>
      </x:c>
      <x:c r="P108" s="10" t="n">
        <x:v>833</x:v>
      </x:c>
      <x:c r="Q108" s="10" t="n">
        <x:v>834</x:v>
      </x:c>
      <x:c r="R108" s="4" t="b">
        <x:v>0</x:v>
      </x:c>
      <x:c r="S108" s="4" t="b">
        <x:v>1</x:v>
      </x:c>
      <x:c r="T108" s="4" t="b">
        <x:v>0</x:v>
      </x:c>
      <x:c r="U108" s="4" t="b">
        <x:v>1</x:v>
      </x:c>
      <x:c r="V108" s="4" t="b">
        <x:v>1</x:v>
      </x:c>
      <x:c r="W108" s="4" t="b">
        <x:v>1</x:v>
      </x:c>
      <x:c r="X108" s="4" t="b">
        <x:v>1</x:v>
      </x:c>
    </x:row>
    <x:row r="109" ht="21" customHeight="1">
      <x:c r="A109" s="8" t="n">
        <x:v>46279.9709375</x:v>
      </x:c>
      <x:c r="B109" s="3" t="str">
        <x:v>ADAUSDT</x:v>
      </x:c>
      <x:c r="C109" s="3" t="str">
        <x:v>take profit</x:v>
      </x:c>
      <x:c r="D109" s="9" t="n">
        <x:v>0.182</x:v>
      </x:c>
      <x:c r="E109" s="3"/>
      <x:c r="F109" s="3" t="str">
        <x:v>gross only; actual fees not recorded</x:v>
      </x:c>
      <x:c r="G109" s="9" t="n">
        <x:v>2.783333333333333</x:v>
      </x:c>
      <x:c r="H109" s="3" t="str">
        <x:v>Latest preceding buy; inferred</x:v>
      </x:c>
      <x:c r="I109" s="3" t="str">
        <x:v>production</x:v>
      </x:c>
      <x:c r="J109" s="3" t="str">
        <x:v>8788057283</x:v>
      </x:c>
      <x:c r="K109" s="3" t="str">
        <x:v>8788043200</x:v>
      </x:c>
      <x:c r="L109" s="8" t="n">
        <x:v>46279.96900462963</x:v>
      </x:c>
      <x:c r="M109" s="9" t="n">
        <x:v>0.2139</x:v>
      </x:c>
      <x:c r="N109" s="9" t="n">
        <x:v>0.2152</x:v>
      </x:c>
      <x:c r="O109" s="9" t="n">
        <x:v>140</x:v>
      </x:c>
      <x:c r="P109" s="10" t="n">
        <x:v>832</x:v>
      </x:c>
      <x:c r="Q109" s="10" t="n">
        <x:v>835</x:v>
      </x:c>
      <x:c r="R109" s="4" t="b">
        <x:v>0</x:v>
      </x:c>
      <x:c r="S109" s="4" t="b">
        <x:v>1</x:v>
      </x:c>
      <x:c r="T109" s="4" t="b">
        <x:v>0</x:v>
      </x:c>
      <x:c r="U109" s="4" t="b">
        <x:v>1</x:v>
      </x:c>
      <x:c r="V109" s="4" t="b">
        <x:v>1</x:v>
      </x:c>
      <x:c r="W109" s="4" t="b">
        <x:v>1</x:v>
      </x:c>
      <x:c r="X109" s="4" t="b">
        <x:v>1</x:v>
      </x:c>
    </x:row>
    <x:row r="110" ht="21" customHeight="1">
      <x:c r="A110" s="8" t="n">
        <x:v>46279.97101851852</x:v>
      </x:c>
      <x:c r="B110" s="3" t="str">
        <x:v>SUIUSDT</x:v>
      </x:c>
      <x:c r="C110" s="3" t="str">
        <x:v>take profit</x:v>
      </x:c>
      <x:c r="D110" s="9" t="n">
        <x:v>0.16968</x:v>
      </x:c>
      <x:c r="E110" s="3"/>
      <x:c r="F110" s="3" t="str">
        <x:v>gross only; actual fees not recorded</x:v>
      </x:c>
      <x:c r="G110" s="9" t="n">
        <x:v>2.933333333333333</x:v>
      </x:c>
      <x:c r="H110" s="3" t="str">
        <x:v>Latest preceding buy; inferred</x:v>
      </x:c>
      <x:c r="I110" s="3" t="str">
        <x:v>production</x:v>
      </x:c>
      <x:c r="J110" s="3" t="str">
        <x:v>8853557599</x:v>
      </x:c>
      <x:c r="K110" s="3" t="str">
        <x:v>8853533904</x:v>
      </x:c>
      <x:c r="L110" s="8" t="n">
        <x:v>46279.968981481485</x:v>
      </x:c>
      <x:c r="M110" s="9" t="n">
        <x:v>0.7419</x:v>
      </x:c>
      <x:c r="N110" s="9" t="n">
        <x:v>0.7461</x:v>
      </x:c>
      <x:c r="O110" s="9" t="n">
        <x:v>40.4</x:v>
      </x:c>
      <x:c r="P110" s="10" t="n">
        <x:v>831</x:v>
      </x:c>
      <x:c r="Q110" s="10" t="n">
        <x:v>836</x:v>
      </x:c>
      <x:c r="R110" s="4" t="b">
        <x:v>0</x:v>
      </x:c>
      <x:c r="S110" s="4" t="b">
        <x:v>1</x:v>
      </x:c>
      <x:c r="T110" s="4" t="b">
        <x:v>0</x:v>
      </x:c>
      <x:c r="U110" s="4" t="b">
        <x:v>1</x:v>
      </x:c>
      <x:c r="V110" s="4" t="b">
        <x:v>1</x:v>
      </x:c>
      <x:c r="W110" s="4" t="b">
        <x:v>1</x:v>
      </x:c>
      <x:c r="X110" s="4" t="b">
        <x:v>1</x:v>
      </x:c>
    </x:row>
    <x:row r="111" ht="21" customHeight="1">
      <x:c r="A111" s="8" t="n">
        <x:v>46280.00037037037</x:v>
      </x:c>
      <x:c r="B111" s="3" t="str">
        <x:v>TRUMPUSDT</x:v>
      </x:c>
      <x:c r="C111" s="3" t="str">
        <x:v>stop loss</x:v>
      </x:c>
      <x:c r="D111" s="9" t="n">
        <x:v>-0.247673</x:v>
      </x:c>
      <x:c r="E111" s="3"/>
      <x:c r="F111" s="3" t="str">
        <x:v>gross only; actual fees not recorded</x:v>
      </x:c>
      <x:c r="G111" s="9" t="n">
        <x:v>40.31666666666667</x:v>
      </x:c>
      <x:c r="H111" s="3" t="str">
        <x:v>Latest preceding buy; inferred</x:v>
      </x:c>
      <x:c r="I111" s="3" t="str">
        <x:v>production</x:v>
      </x:c>
      <x:c r="J111" s="3" t="str">
        <x:v>2083578364</x:v>
      </x:c>
      <x:c r="K111" s="3" t="str">
        <x:v>2083549779</x:v>
      </x:c>
      <x:c r="L111" s="8" t="n">
        <x:v>46279.97237268519</x:v>
      </x:c>
      <x:c r="M111" s="9" t="n">
        <x:v>2.057</x:v>
      </x:c>
      <x:c r="N111" s="9" t="n">
        <x:v>2.04</x:v>
      </x:c>
      <x:c r="O111" s="9" t="n">
        <x:v>14.569</x:v>
      </x:c>
      <x:c r="P111" s="10" t="n">
        <x:v>837</x:v>
      </x:c>
      <x:c r="Q111" s="10" t="n">
        <x:v>838</x:v>
      </x:c>
      <x:c r="R111" s="4" t="b">
        <x:v>0</x:v>
      </x:c>
      <x:c r="S111" s="4" t="b">
        <x:v>1</x:v>
      </x:c>
      <x:c r="T111" s="4" t="b">
        <x:v>0</x:v>
      </x:c>
      <x:c r="U111" s="4" t="b">
        <x:v>1</x:v>
      </x:c>
      <x:c r="V111" s="4" t="b">
        <x:v>1</x:v>
      </x:c>
      <x:c r="W111" s="4" t="b">
        <x:v>1</x:v>
      </x:c>
      <x:c r="X111" s="4" t="b">
        <x:v>1</x:v>
      </x:c>
    </x:row>
    <x:row r="112" ht="21" customHeight="1">
      <x:c r="A112" s="8" t="n">
        <x:v>46280.104583333334</x:v>
      </x:c>
      <x:c r="B112" s="3" t="str">
        <x:v>AVAXUSDT</x:v>
      </x:c>
      <x:c r="C112" s="3" t="str">
        <x:v>stop loss</x:v>
      </x:c>
      <x:c r="D112" s="9" t="n">
        <x:v>-0.196</x:v>
      </x:c>
      <x:c r="E112" s="3"/>
      <x:c r="F112" s="3" t="str">
        <x:v>gross only; actual fees not recorded</x:v>
      </x:c>
      <x:c r="G112" s="9" t="n">
        <x:v>65.4</x:v>
      </x:c>
      <x:c r="H112" s="3" t="str">
        <x:v>Latest preceding buy; inferred</x:v>
      </x:c>
      <x:c r="I112" s="3" t="str">
        <x:v>production</x:v>
      </x:c>
      <x:c r="J112" s="3" t="str">
        <x:v>5735762652</x:v>
      </x:c>
      <x:c r="K112" s="3" t="str">
        <x:v>5735699785</x:v>
      </x:c>
      <x:c r="L112" s="8" t="n">
        <x:v>46280.059166666666</x:v>
      </x:c>
      <x:c r="M112" s="9" t="n">
        <x:v>7.638</x:v>
      </x:c>
      <x:c r="N112" s="9" t="n">
        <x:v>7.588</x:v>
      </x:c>
      <x:c r="O112" s="9" t="n">
        <x:v>3.92</x:v>
      </x:c>
      <x:c r="P112" s="10" t="n">
        <x:v>839</x:v>
      </x:c>
      <x:c r="Q112" s="10" t="n">
        <x:v>840</x:v>
      </x:c>
      <x:c r="R112" s="4" t="b">
        <x:v>0</x:v>
      </x:c>
      <x:c r="S112" s="4" t="b">
        <x:v>1</x:v>
      </x:c>
      <x:c r="T112" s="4" t="b">
        <x:v>1</x:v>
      </x:c>
      <x:c r="U112" s="4" t="b">
        <x:v>1</x:v>
      </x:c>
      <x:c r="V112" s="4" t="b">
        <x:v>1</x:v>
      </x:c>
      <x:c r="W112" s="4" t="b">
        <x:v>1</x:v>
      </x:c>
      <x:c r="X112" s="4" t="b">
        <x:v>0</x:v>
      </x:c>
    </x:row>
    <x:row r="113" ht="21" customHeight="1">
      <x:c r="A113" s="8" t="n">
        <x:v>46280.10465277778</x:v>
      </x:c>
      <x:c r="B113" s="3" t="str">
        <x:v>HOLOUSDT</x:v>
      </x:c>
      <x:c r="C113" s="3" t="str">
        <x:v>RSI sell signal</x:v>
      </x:c>
      <x:c r="D113" s="9" t="n">
        <x:v>0.10074</x:v>
      </x:c>
      <x:c r="E113" s="3"/>
      <x:c r="F113" s="3" t="str">
        <x:v>gross only; actual fees not recorded</x:v>
      </x:c>
      <x:c r="G113" s="9" t="n">
        <x:v>310.1333333333333</x:v>
      </x:c>
      <x:c r="H113" s="3" t="str">
        <x:v>Latest preceding buy; inferred</x:v>
      </x:c>
      <x:c r="I113" s="3" t="str">
        <x:v>production</x:v>
      </x:c>
      <x:c r="J113" s="3" t="str">
        <x:v>168906033</x:v>
      </x:c>
      <x:c r="K113" s="3" t="str">
        <x:v>168871056</x:v>
      </x:c>
      <x:c r="L113" s="8" t="n">
        <x:v>46279.88928240741</x:v>
      </x:c>
      <x:c r="M113" s="9" t="n">
        <x:v>0.0595</x:v>
      </x:c>
      <x:c r="N113" s="9" t="n">
        <x:v>0.0597</x:v>
      </x:c>
      <x:c r="O113" s="9" t="n">
        <x:v>503.7</x:v>
      </x:c>
      <x:c r="P113" s="10" t="n">
        <x:v>816</x:v>
      </x:c>
      <x:c r="Q113" s="10" t="n">
        <x:v>841</x:v>
      </x:c>
      <x:c r="R113" s="4" t="b">
        <x:v>0</x:v>
      </x:c>
      <x:c r="S113" s="4" t="b">
        <x:v>0</x:v>
      </x:c>
      <x:c r="T113" s="4" t="b">
        <x:v>1</x:v>
      </x:c>
      <x:c r="U113" s="4" t="b">
        <x:v>1</x:v>
      </x:c>
      <x:c r="V113" s="4" t="b">
        <x:v>1</x:v>
      </x:c>
      <x:c r="W113" s="4" t="b">
        <x:v>1</x:v>
      </x:c>
      <x:c r="X113" s="4" t="b">
        <x:v>1</x:v>
      </x:c>
    </x:row>
    <x:row r="114" ht="21" customHeight="1">
      <x:c r="A114" s="8" t="n">
        <x:v>46280.13136574074</x:v>
      </x:c>
      <x:c r="B114" s="3" t="str">
        <x:v>PUMPUSDT</x:v>
      </x:c>
      <x:c r="C114" s="3" t="str">
        <x:v>take profit</x:v>
      </x:c>
      <x:c r="D114" s="9" t="n">
        <x:v>0.178772</x:v>
      </x:c>
      <x:c r="E114" s="3"/>
      <x:c r="F114" s="3" t="str">
        <x:v>gross only; actual fees not recorded</x:v>
      </x:c>
      <x:c r="G114" s="9" t="n">
        <x:v>18.9</x:v>
      </x:c>
      <x:c r="H114" s="3" t="str">
        <x:v>Latest preceding buy; inferred</x:v>
      </x:c>
      <x:c r="I114" s="3" t="str">
        <x:v>production</x:v>
      </x:c>
      <x:c r="J114" s="3" t="str">
        <x:v>881041810</x:v>
      </x:c>
      <x:c r="K114" s="3" t="str">
        <x:v>881028086</x:v>
      </x:c>
      <x:c r="L114" s="8" t="n">
        <x:v>46280.11824074074</x:v>
      </x:c>
      <x:c r="M114" s="9" t="n">
        <x:v>0.003688</x:v>
      </x:c>
      <x:c r="N114" s="9" t="n">
        <x:v>0.00371</x:v>
      </x:c>
      <x:c r="O114" s="9" t="n">
        <x:v>8126</x:v>
      </x:c>
      <x:c r="P114" s="10" t="n">
        <x:v>842</x:v>
      </x:c>
      <x:c r="Q114" s="10" t="n">
        <x:v>843</x:v>
      </x:c>
      <x:c r="R114" s="4" t="b">
        <x:v>0</x:v>
      </x:c>
      <x:c r="S114" s="4" t="b">
        <x:v>0</x:v>
      </x:c>
      <x:c r="T114" s="4" t="b">
        <x:v>1</x:v>
      </x:c>
      <x:c r="U114" s="4" t="b">
        <x:v>1</x:v>
      </x:c>
      <x:c r="V114" s="4" t="b">
        <x:v>1</x:v>
      </x:c>
      <x:c r="W114" s="4" t="b">
        <x:v>1</x:v>
      </x:c>
      <x:c r="X114" s="4" t="b">
        <x:v>1</x:v>
      </x:c>
    </x:row>
    <x:row r="115" ht="21" customHeight="1">
      <x:c r="A115" s="8" t="n">
        <x:v>46280.200740740744</x:v>
      </x:c>
      <x:c r="B115" s="3" t="str">
        <x:v>LINKUSDT</x:v>
      </x:c>
      <x:c r="C115" s="3" t="str">
        <x:v>take profit</x:v>
      </x:c>
      <x:c r="D115" s="9" t="n">
        <x:v>0.11655</x:v>
      </x:c>
      <x:c r="E115" s="3"/>
      <x:c r="F115" s="3" t="str">
        <x:v>gross only; actual fees not recorded</x:v>
      </x:c>
      <x:c r="G115" s="9" t="n">
        <x:v>18.566666666666666</x:v>
      </x:c>
      <x:c r="H115" s="3" t="str">
        <x:v>Latest preceding buy; inferred</x:v>
      </x:c>
      <x:c r="I115" s="3" t="str">
        <x:v>production</x:v>
      </x:c>
      <x:c r="J115" s="3" t="str">
        <x:v>8012614975</x:v>
      </x:c>
      <x:c r="K115" s="3" t="str">
        <x:v>8012591958</x:v>
      </x:c>
      <x:c r="L115" s="8" t="n">
        <x:v>46280.18784722222</x:v>
      </x:c>
      <x:c r="M115" s="9" t="n">
        <x:v>11.558</x:v>
      </x:c>
      <x:c r="N115" s="9" t="n">
        <x:v>11.603</x:v>
      </x:c>
      <x:c r="O115" s="9" t="n">
        <x:v>2.59</x:v>
      </x:c>
      <x:c r="P115" s="10" t="n">
        <x:v>844</x:v>
      </x:c>
      <x:c r="Q115" s="10" t="n">
        <x:v>846</x:v>
      </x:c>
      <x:c r="R115" s="4" t="b">
        <x:v>0</x:v>
      </x:c>
      <x:c r="S115" s="4" t="b">
        <x:v>0</x:v>
      </x:c>
      <x:c r="T115" s="4" t="b">
        <x:v>1</x:v>
      </x:c>
      <x:c r="U115" s="4" t="b">
        <x:v>1</x:v>
      </x:c>
      <x:c r="V115" s="4" t="b">
        <x:v>1</x:v>
      </x:c>
      <x:c r="W115" s="4" t="b">
        <x:v>1</x:v>
      </x:c>
      <x:c r="X115" s="4" t="b">
        <x:v>1</x:v>
      </x:c>
    </x:row>
    <x:row r="116" ht="21" customHeight="1">
      <x:c r="A116" s="8" t="n">
        <x:v>46280.22603009259</x:v>
      </x:c>
      <x:c r="B116" s="3" t="str">
        <x:v>AAVEUSDT</x:v>
      </x:c>
      <x:c r="C116" s="3" t="str">
        <x:v>stop loss</x:v>
      </x:c>
      <x:c r="D116" s="9" t="n">
        <x:v>-0.13456</x:v>
      </x:c>
      <x:c r="E116" s="3"/>
      <x:c r="F116" s="3" t="str">
        <x:v>gross only; actual fees not recorded</x:v>
      </x:c>
      <x:c r="G116" s="9" t="n">
        <x:v>20.433333333333334</x:v>
      </x:c>
      <x:c r="H116" s="3" t="str">
        <x:v>Latest preceding buy; inferred</x:v>
      </x:c>
      <x:c r="I116" s="3" t="str">
        <x:v>production</x:v>
      </x:c>
      <x:c r="J116" s="3" t="str">
        <x:v>5707389482</x:v>
      </x:c>
      <x:c r="K116" s="3" t="str">
        <x:v>5707367368</x:v>
      </x:c>
      <x:c r="L116" s="8" t="n">
        <x:v>46280.21184027778</x:v>
      </x:c>
      <x:c r="M116" s="9" t="n">
        <x:v>128.5</x:v>
      </x:c>
      <x:c r="N116" s="9" t="n">
        <x:v>127.92</x:v>
      </x:c>
      <x:c r="O116" s="9" t="n">
        <x:v>0.232</x:v>
      </x:c>
      <x:c r="P116" s="10" t="n">
        <x:v>847</x:v>
      </x:c>
      <x:c r="Q116" s="10" t="n">
        <x:v>849</x:v>
      </x:c>
      <x:c r="R116" s="4" t="b">
        <x:v>0</x:v>
      </x:c>
      <x:c r="S116" s="4" t="b">
        <x:v>0</x:v>
      </x:c>
      <x:c r="T116" s="4" t="b">
        <x:v>1</x:v>
      </x:c>
      <x:c r="U116" s="4" t="b">
        <x:v>1</x:v>
      </x:c>
      <x:c r="V116" s="4" t="b">
        <x:v>1</x:v>
      </x:c>
      <x:c r="W116" s="4" t="b">
        <x:v>1</x:v>
      </x:c>
      <x:c r="X116" s="4" t="b">
        <x:v>1</x:v>
      </x:c>
    </x:row>
    <x:row r="117" ht="21" customHeight="1">
      <x:c r="A117" s="8" t="n">
        <x:v>46280.22924768519</x:v>
      </x:c>
      <x:c r="B117" s="3" t="str">
        <x:v>ENAUSDT</x:v>
      </x:c>
      <x:c r="C117" s="3" t="str">
        <x:v>stop loss</x:v>
      </x:c>
      <x:c r="D117" s="9" t="n">
        <x:v>-0.27131</x:v>
      </x:c>
      <x:c r="E117" s="3"/>
      <x:c r="F117" s="3" t="str">
        <x:v>gross only; actual fees not recorded</x:v>
      </x:c>
      <x:c r="G117" s="9" t="n">
        <x:v>49.9</x:v>
      </x:c>
      <x:c r="H117" s="3" t="str">
        <x:v>Latest preceding buy; inferred</x:v>
      </x:c>
      <x:c r="I117" s="3" t="str">
        <x:v>production</x:v>
      </x:c>
      <x:c r="J117" s="3" t="str">
        <x:v>3405099691</x:v>
      </x:c>
      <x:c r="K117" s="3" t="str">
        <x:v>3405054866</x:v>
      </x:c>
      <x:c r="L117" s="8" t="n">
        <x:v>46280.19459490741</x:v>
      </x:c>
      <x:c r="M117" s="9" t="n">
        <x:v>0.1436</x:v>
      </x:c>
      <x:c r="N117" s="9" t="n">
        <x:v>0.1423</x:v>
      </x:c>
      <x:c r="O117" s="9" t="n">
        <x:v>208.7</x:v>
      </x:c>
      <x:c r="P117" s="10" t="n">
        <x:v>845</x:v>
      </x:c>
      <x:c r="Q117" s="10" t="n">
        <x:v>850</x:v>
      </x:c>
      <x:c r="R117" s="4" t="b">
        <x:v>0</x:v>
      </x:c>
      <x:c r="S117" s="4" t="b">
        <x:v>0</x:v>
      </x:c>
      <x:c r="T117" s="4" t="b">
        <x:v>1</x:v>
      </x:c>
      <x:c r="U117" s="4" t="b">
        <x:v>1</x:v>
      </x:c>
      <x:c r="V117" s="4" t="b">
        <x:v>1</x:v>
      </x:c>
      <x:c r="W117" s="4" t="b">
        <x:v>1</x:v>
      </x:c>
      <x:c r="X117" s="4" t="b">
        <x:v>1</x:v>
      </x:c>
    </x:row>
    <x:row r="118" ht="21" customHeight="1">
      <x:c r="A118" s="8" t="n">
        <x:v>46280.25019675926</x:v>
      </x:c>
      <x:c r="B118" s="3" t="str">
        <x:v>LINKUSDT</x:v>
      </x:c>
      <x:c r="C118" s="3" t="str">
        <x:v>stop loss</x:v>
      </x:c>
      <x:c r="D118" s="9" t="n">
        <x:v>-0.11868</x:v>
      </x:c>
      <x:c r="E118" s="3"/>
      <x:c r="F118" s="3" t="str">
        <x:v>gross only; actual fees not recorded</x:v>
      </x:c>
      <x:c r="G118" s="9" t="n">
        <x:v>20.216666666666665</x:v>
      </x:c>
      <x:c r="H118" s="3" t="str">
        <x:v>Latest preceding buy; inferred</x:v>
      </x:c>
      <x:c r="I118" s="3" t="str">
        <x:v>production</x:v>
      </x:c>
      <x:c r="J118" s="3" t="str">
        <x:v>8012697411</x:v>
      </x:c>
      <x:c r="K118" s="3" t="str">
        <x:v>8012673975</x:v>
      </x:c>
      <x:c r="L118" s="8" t="n">
        <x:v>46280.23615740741</x:v>
      </x:c>
      <x:c r="M118" s="9" t="n">
        <x:v>11.606</x:v>
      </x:c>
      <x:c r="N118" s="9" t="n">
        <x:v>11.56</x:v>
      </x:c>
      <x:c r="O118" s="9" t="n">
        <x:v>2.58</x:v>
      </x:c>
      <x:c r="P118" s="10" t="n">
        <x:v>851</x:v>
      </x:c>
      <x:c r="Q118" s="10" t="n">
        <x:v>853</x:v>
      </x:c>
      <x:c r="R118" s="4" t="b">
        <x:v>0</x:v>
      </x:c>
      <x:c r="S118" s="4" t="b">
        <x:v>0</x:v>
      </x:c>
      <x:c r="T118" s="4" t="b">
        <x:v>1</x:v>
      </x:c>
      <x:c r="U118" s="4" t="b">
        <x:v>1</x:v>
      </x:c>
      <x:c r="V118" s="4" t="b">
        <x:v>1</x:v>
      </x:c>
      <x:c r="W118" s="4" t="b">
        <x:v>1</x:v>
      </x:c>
      <x:c r="X118" s="4" t="b">
        <x:v>1</x:v>
      </x:c>
    </x:row>
    <x:row r="119" ht="21" customHeight="1">
      <x:c r="A119" s="8" t="n">
        <x:v>46280.253796296296</x:v>
      </x:c>
      <x:c r="B119" s="3" t="str">
        <x:v>ETHUSDT</x:v>
      </x:c>
      <x:c r="C119" s="3" t="str">
        <x:v>stop loss</x:v>
      </x:c>
      <x:c r="D119" s="9" t="n">
        <x:v>-0.137445</x:v>
      </x:c>
      <x:c r="E119" s="3"/>
      <x:c r="F119" s="3" t="str">
        <x:v>gross only; actual fees not recorded</x:v>
      </x:c>
      <x:c r="G119" s="9" t="n">
        <x:v>49.833333333333336</x:v>
      </x:c>
      <x:c r="H119" s="3" t="str">
        <x:v>Latest preceding buy; inferred</x:v>
      </x:c>
      <x:c r="I119" s="3" t="str">
        <x:v>production</x:v>
      </x:c>
      <x:c r="J119" s="3" t="str">
        <x:v>49820992577</x:v>
      </x:c>
      <x:c r="K119" s="3" t="str">
        <x:v>49820394174</x:v>
      </x:c>
      <x:c r="L119" s="8" t="n">
        <x:v>46280.219189814816</x:v>
      </x:c>
      <x:c r="M119" s="9" t="n">
        <x:v>2517.58</x:v>
      </x:c>
      <x:c r="N119" s="9" t="n">
        <x:v>2506.03</x:v>
      </x:c>
      <x:c r="O119" s="9" t="n">
        <x:v>0.0119</x:v>
      </x:c>
      <x:c r="P119" s="10" t="n">
        <x:v>848</x:v>
      </x:c>
      <x:c r="Q119" s="10" t="n">
        <x:v>855</x:v>
      </x:c>
      <x:c r="R119" s="4" t="b">
        <x:v>0</x:v>
      </x:c>
      <x:c r="S119" s="4" t="b">
        <x:v>0</x:v>
      </x:c>
      <x:c r="T119" s="4" t="b">
        <x:v>1</x:v>
      </x:c>
      <x:c r="U119" s="4" t="b">
        <x:v>1</x:v>
      </x:c>
      <x:c r="V119" s="4" t="b">
        <x:v>1</x:v>
      </x:c>
      <x:c r="W119" s="4" t="b">
        <x:v>1</x:v>
      </x:c>
      <x:c r="X119" s="4" t="b">
        <x:v>1</x:v>
      </x:c>
    </x:row>
    <x:row r="120" ht="21" customHeight="1">
      <x:c r="A120" s="8" t="n">
        <x:v>46280.25734953704</x:v>
      </x:c>
      <x:c r="B120" s="3" t="str">
        <x:v>SUIUSDT</x:v>
      </x:c>
      <x:c r="C120" s="3" t="str">
        <x:v>stop loss</x:v>
      </x:c>
      <x:c r="D120" s="9" t="n">
        <x:v>-0.1162</x:v>
      </x:c>
      <x:c r="E120" s="3"/>
      <x:c r="F120" s="3" t="str">
        <x:v>gross only; actual fees not recorded</x:v>
      </x:c>
      <x:c r="G120" s="9" t="n">
        <x:v>10.433333333333334</x:v>
      </x:c>
      <x:c r="H120" s="3" t="str">
        <x:v>Latest preceding buy; inferred</x:v>
      </x:c>
      <x:c r="I120" s="3" t="str">
        <x:v>production</x:v>
      </x:c>
      <x:c r="J120" s="3" t="str">
        <x:v>8854320637</x:v>
      </x:c>
      <x:c r="K120" s="3" t="str">
        <x:v>8854302163</x:v>
      </x:c>
      <x:c r="L120" s="8" t="n">
        <x:v>46280.25010416667</x:v>
      </x:c>
      <x:c r="M120" s="9" t="n">
        <x:v>0.7212</x:v>
      </x:c>
      <x:c r="N120" s="9" t="n">
        <x:v>0.7184</x:v>
      </x:c>
      <x:c r="O120" s="9" t="n">
        <x:v>41.5</x:v>
      </x:c>
      <x:c r="P120" s="10" t="n">
        <x:v>852</x:v>
      </x:c>
      <x:c r="Q120" s="10" t="n">
        <x:v>856</x:v>
      </x:c>
      <x:c r="R120" s="4" t="b">
        <x:v>0</x:v>
      </x:c>
      <x:c r="S120" s="4" t="b">
        <x:v>0</x:v>
      </x:c>
      <x:c r="T120" s="4" t="b">
        <x:v>1</x:v>
      </x:c>
      <x:c r="U120" s="4" t="b">
        <x:v>1</x:v>
      </x:c>
      <x:c r="V120" s="4" t="b">
        <x:v>1</x:v>
      </x:c>
      <x:c r="W120" s="4" t="b">
        <x:v>1</x:v>
      </x:c>
      <x:c r="X120" s="4" t="b">
        <x:v>1</x:v>
      </x:c>
    </x:row>
    <x:row r="121" ht="21" customHeight="1">
      <x:c r="A121" s="8" t="n">
        <x:v>46280.260613425926</x:v>
      </x:c>
      <x:c r="B121" s="3" t="str">
        <x:v>TAOUSDT</x:v>
      </x:c>
      <x:c r="C121" s="3" t="str">
        <x:v>stop loss</x:v>
      </x:c>
      <x:c r="D121" s="9" t="n">
        <x:v>-0.20592</x:v>
      </x:c>
      <x:c r="E121" s="3"/>
      <x:c r="F121" s="3" t="str">
        <x:v>gross only; actual fees not recorded</x:v>
      </x:c>
      <x:c r="G121" s="9" t="n">
        <x:v>14.933333333333334</x:v>
      </x:c>
      <x:c r="H121" s="3" t="str">
        <x:v>Latest preceding buy; inferred</x:v>
      </x:c>
      <x:c r="I121" s="3" t="str">
        <x:v>production</x:v>
      </x:c>
      <x:c r="J121" s="3" t="str">
        <x:v>2571349830</x:v>
      </x:c>
      <x:c r="K121" s="3" t="str">
        <x:v>2571338161</x:v>
      </x:c>
      <x:c r="L121" s="8" t="n">
        <x:v>46280.250243055554</x:v>
      </x:c>
      <x:c r="M121" s="9" t="n">
        <x:v>232.8</x:v>
      </x:c>
      <x:c r="N121" s="9" t="n">
        <x:v>231.2</x:v>
      </x:c>
      <x:c r="O121" s="9" t="n">
        <x:v>0.1287</x:v>
      </x:c>
      <x:c r="P121" s="10" t="n">
        <x:v>854</x:v>
      </x:c>
      <x:c r="Q121" s="10" t="n">
        <x:v>858</x:v>
      </x:c>
      <x:c r="R121" s="4" t="b">
        <x:v>0</x:v>
      </x:c>
      <x:c r="S121" s="4" t="b">
        <x:v>0</x:v>
      </x:c>
      <x:c r="T121" s="4" t="b">
        <x:v>1</x:v>
      </x:c>
      <x:c r="U121" s="4" t="b">
        <x:v>1</x:v>
      </x:c>
      <x:c r="V121" s="4" t="b">
        <x:v>1</x:v>
      </x:c>
      <x:c r="W121" s="4" t="b">
        <x:v>1</x:v>
      </x:c>
      <x:c r="X121" s="4" t="b">
        <x:v>1</x:v>
      </x:c>
    </x:row>
    <x:row r="122" ht="21" customHeight="1">
      <x:c r="A122" s="8" t="n">
        <x:v>46280.29199074074</x:v>
      </x:c>
      <x:c r="B122" s="3" t="str">
        <x:v>SOXLBUSDT</x:v>
      </x:c>
      <x:c r="C122" s="3" t="str">
        <x:v>stop loss</x:v>
      </x:c>
      <x:c r="D122" s="9" t="n">
        <x:v>-0.1972</x:v>
      </x:c>
      <x:c r="E122" s="3"/>
      <x:c r="F122" s="3" t="str">
        <x:v>gross only; actual fees not recorded</x:v>
      </x:c>
      <x:c r="G122" s="9" t="n">
        <x:v>10.366666666666667</x:v>
      </x:c>
      <x:c r="H122" s="3" t="str">
        <x:v>Latest preceding buy; inferred</x:v>
      </x:c>
      <x:c r="I122" s="3" t="str">
        <x:v>production</x:v>
      </x:c>
      <x:c r="J122" s="3" t="str">
        <x:v>183412440</x:v>
      </x:c>
      <x:c r="K122" s="3" t="str">
        <x:v>183402836</x:v>
      </x:c>
      <x:c r="L122" s="8" t="n">
        <x:v>46280.284791666665</x:v>
      </x:c>
      <x:c r="M122" s="9" t="n">
        <x:v>103.04</x:v>
      </x:c>
      <x:c r="N122" s="9" t="n">
        <x:v>102.36</x:v>
      </x:c>
      <x:c r="O122" s="9" t="n">
        <x:v>0.29</x:v>
      </x:c>
      <x:c r="P122" s="10" t="n">
        <x:v>859</x:v>
      </x:c>
      <x:c r="Q122" s="10" t="n">
        <x:v>861</x:v>
      </x:c>
      <x:c r="R122" s="4" t="b">
        <x:v>0</x:v>
      </x:c>
      <x:c r="S122" s="4" t="b">
        <x:v>0</x:v>
      </x:c>
      <x:c r="T122" s="4" t="b">
        <x:v>1</x:v>
      </x:c>
      <x:c r="U122" s="4" t="b">
        <x:v>1</x:v>
      </x:c>
      <x:c r="V122" s="4" t="b">
        <x:v>1</x:v>
      </x:c>
      <x:c r="W122" s="4" t="b">
        <x:v>1</x:v>
      </x:c>
      <x:c r="X122" s="4" t="b">
        <x:v>1</x:v>
      </x:c>
    </x:row>
    <x:row r="123" ht="21" customHeight="1">
      <x:c r="A123" s="8" t="n">
        <x:v>46280.30915509259</x:v>
      </x:c>
      <x:c r="B123" s="3" t="str">
        <x:v>XLMUSDT</x:v>
      </x:c>
      <x:c r="C123" s="3" t="str">
        <x:v>stop loss</x:v>
      </x:c>
      <x:c r="D123" s="9" t="n">
        <x:v>-0.2601</x:v>
      </x:c>
      <x:c r="E123" s="3"/>
      <x:c r="F123" s="3" t="str">
        <x:v>gross only; actual fees not recorded</x:v>
      </x:c>
      <x:c r="G123" s="9" t="n">
        <x:v>35.06666666666667</x:v>
      </x:c>
      <x:c r="H123" s="3" t="str">
        <x:v>Latest preceding buy; inferred</x:v>
      </x:c>
      <x:c r="I123" s="3" t="str">
        <x:v>production</x:v>
      </x:c>
      <x:c r="J123" s="3" t="str">
        <x:v>3859144087</x:v>
      </x:c>
      <x:c r="K123" s="3" t="str">
        <x:v>3859106851</x:v>
      </x:c>
      <x:c r="L123" s="8" t="n">
        <x:v>46280.28480324074</x:v>
      </x:c>
      <x:c r="M123" s="9" t="n">
        <x:v>0.1942</x:v>
      </x:c>
      <x:c r="N123" s="9" t="n">
        <x:v>0.1925</x:v>
      </x:c>
      <x:c r="O123" s="9" t="n">
        <x:v>153</x:v>
      </x:c>
      <x:c r="P123" s="10" t="n">
        <x:v>860</x:v>
      </x:c>
      <x:c r="Q123" s="10" t="n">
        <x:v>862</x:v>
      </x:c>
      <x:c r="R123" s="4" t="b">
        <x:v>0</x:v>
      </x:c>
      <x:c r="S123" s="4" t="b">
        <x:v>0</x:v>
      </x:c>
      <x:c r="T123" s="4" t="b">
        <x:v>1</x:v>
      </x:c>
      <x:c r="U123" s="4" t="b">
        <x:v>1</x:v>
      </x:c>
      <x:c r="V123" s="4" t="b">
        <x:v>1</x:v>
      </x:c>
      <x:c r="W123" s="4" t="b">
        <x:v>1</x:v>
      </x:c>
      <x:c r="X123" s="4" t="b">
        <x:v>1</x:v>
      </x:c>
    </x:row>
    <x:row r="124" ht="21" customHeight="1">
      <x:c r="A124" s="8" t="n">
        <x:v>46280.34752314815</x:v>
      </x:c>
      <x:c r="B124" s="3" t="str">
        <x:v>PEPEUSDT</x:v>
      </x:c>
      <x:c r="C124" s="3" t="str">
        <x:v>stop loss</x:v>
      </x:c>
      <x:c r="D124" s="9" t="n">
        <x:v>-0.346474</x:v>
      </x:c>
      <x:c r="E124" s="3"/>
      <x:c r="F124" s="3" t="str">
        <x:v>gross only; actual fees not recorded</x:v>
      </x:c>
      <x:c r="G124" s="9" t="n">
        <x:v>129.85</x:v>
      </x:c>
      <x:c r="H124" s="3" t="str">
        <x:v>Latest preceding buy; inferred</x:v>
      </x:c>
      <x:c r="I124" s="3" t="str">
        <x:v>production</x:v>
      </x:c>
      <x:c r="J124" s="3" t="str">
        <x:v>5416621744</x:v>
      </x:c>
      <x:c r="K124" s="3" t="str">
        <x:v>5416580234</x:v>
      </x:c>
      <x:c r="L124" s="8" t="n">
        <x:v>46280.25734953704</x:v>
      </x:c>
      <x:c r="M124" s="9" t="n">
        <x:v>0.00000346</x:v>
      </x:c>
      <x:c r="N124" s="9" t="n">
        <x:v>0.00000342</x:v>
      </x:c>
      <x:c r="O124" s="9" t="n">
        <x:v>8661850</x:v>
      </x:c>
      <x:c r="P124" s="10" t="n">
        <x:v>857</x:v>
      </x:c>
      <x:c r="Q124" s="10" t="n">
        <x:v>863</x:v>
      </x:c>
      <x:c r="R124" s="4" t="b">
        <x:v>0</x:v>
      </x:c>
      <x:c r="S124" s="4" t="b">
        <x:v>0</x:v>
      </x:c>
      <x:c r="T124" s="4" t="b">
        <x:v>1</x:v>
      </x:c>
      <x:c r="U124" s="4" t="b">
        <x:v>1</x:v>
      </x:c>
      <x:c r="V124" s="4" t="b">
        <x:v>1</x:v>
      </x:c>
      <x:c r="W124" s="4" t="b">
        <x:v>1</x:v>
      </x:c>
      <x:c r="X124" s="4" t="b">
        <x:v>1</x:v>
      </x:c>
    </x:row>
    <x:row r="125" ht="21" customHeight="1">
      <x:c r="A125" s="8" t="n">
        <x:v>46280.37082175926</x:v>
      </x:c>
      <x:c r="B125" s="3" t="str">
        <x:v>NEARUSDT</x:v>
      </x:c>
      <x:c r="C125" s="3" t="str">
        <x:v>take profit</x:v>
      </x:c>
      <x:c r="D125" s="9" t="n">
        <x:v>0.1968</x:v>
      </x:c>
      <x:c r="E125" s="3"/>
      <x:c r="F125" s="3" t="str">
        <x:v>gross only; actual fees not recorded</x:v>
      </x:c>
      <x:c r="G125" s="9" t="n">
        <x:v>28.4</x:v>
      </x:c>
      <x:c r="H125" s="3" t="str">
        <x:v>Latest preceding buy; inferred</x:v>
      </x:c>
      <x:c r="I125" s="3" t="str">
        <x:v>production</x:v>
      </x:c>
      <x:c r="J125" s="3" t="str">
        <x:v>5128338298</x:v>
      </x:c>
      <x:c r="K125" s="3" t="str">
        <x:v>5128309888</x:v>
      </x:c>
      <x:c r="L125" s="8" t="n">
        <x:v>46280.35109953704</x:v>
      </x:c>
      <x:c r="M125" s="9" t="n">
        <x:v>2.423</x:v>
      </x:c>
      <x:c r="N125" s="9" t="n">
        <x:v>2.439</x:v>
      </x:c>
      <x:c r="O125" s="9" t="n">
        <x:v>12.3</x:v>
      </x:c>
      <x:c r="P125" s="10" t="n">
        <x:v>864</x:v>
      </x:c>
      <x:c r="Q125" s="10" t="n">
        <x:v>865</x:v>
      </x:c>
      <x:c r="R125" s="4" t="b">
        <x:v>0</x:v>
      </x:c>
      <x:c r="S125" s="4" t="b">
        <x:v>0</x:v>
      </x:c>
      <x:c r="T125" s="4" t="b">
        <x:v>1</x:v>
      </x:c>
      <x:c r="U125" s="4" t="b">
        <x:v>1</x:v>
      </x:c>
      <x:c r="V125" s="4" t="b">
        <x:v>1</x:v>
      </x:c>
      <x:c r="W125" s="4" t="b">
        <x:v>1</x:v>
      </x:c>
      <x:c r="X125" s="4" t="b">
        <x:v>1</x:v>
      </x:c>
    </x:row>
    <x:row r="126" ht="21" customHeight="1">
      <x:c r="A126" s="8" t="n">
        <x:v>46280.40997685185</x:v>
      </x:c>
      <x:c r="B126" s="3" t="str">
        <x:v>AAVEUSDT</x:v>
      </x:c>
      <x:c r="C126" s="3" t="str">
        <x:v>stop loss</x:v>
      </x:c>
      <x:c r="D126" s="9" t="n">
        <x:v>-0.12729</x:v>
      </x:c>
      <x:c r="E126" s="3"/>
      <x:c r="F126" s="3" t="str">
        <x:v>gross only; actual fees not recorded</x:v>
      </x:c>
      <x:c r="G126" s="9" t="n">
        <x:v>24.8</x:v>
      </x:c>
      <x:c r="H126" s="3" t="str">
        <x:v>Latest preceding buy; inferred</x:v>
      </x:c>
      <x:c r="I126" s="3" t="str">
        <x:v>production</x:v>
      </x:c>
      <x:c r="J126" s="3" t="str">
        <x:v>5707688239</x:v>
      </x:c>
      <x:c r="K126" s="3" t="str">
        <x:v>5707665052</x:v>
      </x:c>
      <x:c r="L126" s="8" t="n">
        <x:v>46280.39275462963</x:v>
      </x:c>
      <x:c r="M126" s="9" t="n">
        <x:v>127.44</x:v>
      </x:c>
      <x:c r="N126" s="9" t="n">
        <x:v>126.89834042553191</x:v>
      </x:c>
      <x:c r="O126" s="9" t="n">
        <x:v>0.235</x:v>
      </x:c>
      <x:c r="P126" s="10" t="n">
        <x:v>866</x:v>
      </x:c>
      <x:c r="Q126" s="10" t="n">
        <x:v>868</x:v>
      </x:c>
      <x:c r="R126" s="4" t="b">
        <x:v>0</x:v>
      </x:c>
      <x:c r="S126" s="4" t="b">
        <x:v>0</x:v>
      </x:c>
      <x:c r="T126" s="4" t="b">
        <x:v>1</x:v>
      </x:c>
      <x:c r="U126" s="4" t="b">
        <x:v>1</x:v>
      </x:c>
      <x:c r="V126" s="4" t="b">
        <x:v>1</x:v>
      </x:c>
      <x:c r="W126" s="4" t="b">
        <x:v>1</x:v>
      </x:c>
      <x:c r="X126" s="4" t="b">
        <x:v>1</x:v>
      </x:c>
    </x:row>
    <x:row r="127" ht="21" customHeight="1">
      <x:c r="A127" s="8" t="n">
        <x:v>46280.43096064815</x:v>
      </x:c>
      <x:c r="B127" s="3" t="str">
        <x:v>ZECUSDT</x:v>
      </x:c>
      <x:c r="C127" s="3" t="str">
        <x:v>take profit</x:v>
      </x:c>
      <x:c r="D127" s="9" t="n">
        <x:v>0.18122</x:v>
      </x:c>
      <x:c r="E127" s="3"/>
      <x:c r="F127" s="3" t="str">
        <x:v>gross only; actual fees not recorded</x:v>
      </x:c>
      <x:c r="G127" s="9" t="n">
        <x:v>40.233333333333334</x:v>
      </x:c>
      <x:c r="H127" s="3" t="str">
        <x:v>Latest preceding buy; inferred</x:v>
      </x:c>
      <x:c r="I127" s="3" t="str">
        <x:v>production</x:v>
      </x:c>
      <x:c r="J127" s="3" t="str">
        <x:v>6116541552</x:v>
      </x:c>
      <x:c r="K127" s="3" t="str">
        <x:v>6116285275</x:v>
      </x:c>
      <x:c r="L127" s="8" t="n">
        <x:v>46280.403020833335</x:v>
      </x:c>
      <x:c r="M127" s="9" t="n">
        <x:v>1142.55</x:v>
      </x:c>
      <x:c r="N127" s="9" t="n">
        <x:v>1149.52</x:v>
      </x:c>
      <x:c r="O127" s="9" t="n">
        <x:v>0.026</x:v>
      </x:c>
      <x:c r="P127" s="10" t="n">
        <x:v>867</x:v>
      </x:c>
      <x:c r="Q127" s="10" t="n">
        <x:v>872</x:v>
      </x:c>
      <x:c r="R127" s="4" t="b">
        <x:v>0</x:v>
      </x:c>
      <x:c r="S127" s="4" t="b">
        <x:v>0</x:v>
      </x:c>
      <x:c r="T127" s="4" t="b">
        <x:v>1</x:v>
      </x:c>
      <x:c r="U127" s="4" t="b">
        <x:v>1</x:v>
      </x:c>
      <x:c r="V127" s="4" t="b">
        <x:v>1</x:v>
      </x:c>
      <x:c r="W127" s="4" t="b">
        <x:v>1</x:v>
      </x:c>
      <x:c r="X127" s="4" t="b">
        <x:v>1</x:v>
      </x:c>
    </x:row>
    <x:row r="128" ht="21" customHeight="1">
      <x:c r="A128" s="8" t="n">
        <x:v>46280.44130787037</x:v>
      </x:c>
      <x:c r="B128" s="3" t="str">
        <x:v>CRCLBUSDT</x:v>
      </x:c>
      <x:c r="C128" s="3" t="str">
        <x:v>stop loss</x:v>
      </x:c>
      <x:c r="D128" s="9" t="n">
        <x:v>-0.1229</x:v>
      </x:c>
      <x:c r="E128" s="3"/>
      <x:c r="F128" s="3" t="str">
        <x:v>gross only; actual fees not recorded</x:v>
      </x:c>
      <x:c r="G128" s="9" t="n">
        <x:v>5.166666666666667</x:v>
      </x:c>
      <x:c r="H128" s="3" t="str">
        <x:v>Latest preceding buy; inferred</x:v>
      </x:c>
      <x:c r="I128" s="3" t="str">
        <x:v>production</x:v>
      </x:c>
      <x:c r="J128" s="3" t="str">
        <x:v>89566998</x:v>
      </x:c>
      <x:c r="K128" s="3" t="str">
        <x:v>89563568</x:v>
      </x:c>
      <x:c r="L128" s="8" t="n">
        <x:v>46280.43771990741</x:v>
      </x:c>
      <x:c r="M128" s="9" t="n">
        <x:v>93</x:v>
      </x:c>
      <x:c r="N128" s="9" t="n">
        <x:v>92.60354838709678</x:v>
      </x:c>
      <x:c r="O128" s="9" t="n">
        <x:v>0.31</x:v>
      </x:c>
      <x:c r="P128" s="10" t="n">
        <x:v>873</x:v>
      </x:c>
      <x:c r="Q128" s="10" t="n">
        <x:v>874</x:v>
      </x:c>
      <x:c r="R128" s="4" t="b">
        <x:v>0</x:v>
      </x:c>
      <x:c r="S128" s="4" t="b">
        <x:v>1</x:v>
      </x:c>
      <x:c r="T128" s="4" t="b">
        <x:v>1</x:v>
      </x:c>
      <x:c r="U128" s="4" t="b">
        <x:v>1</x:v>
      </x:c>
      <x:c r="V128" s="4" t="b">
        <x:v>1</x:v>
      </x:c>
      <x:c r="W128" s="4" t="b">
        <x:v>1</x:v>
      </x:c>
      <x:c r="X128" s="4" t="b">
        <x:v>0</x:v>
      </x:c>
    </x:row>
    <x:row r="129" ht="21" customHeight="1">
      <x:c r="A129" s="8" t="n">
        <x:v>46280.45496527778</x:v>
      </x:c>
      <x:c r="B129" s="3" t="str">
        <x:v>ARBUSDT</x:v>
      </x:c>
      <x:c r="C129" s="3" t="str">
        <x:v>stop loss</x:v>
      </x:c>
      <x:c r="D129" s="9" t="n">
        <x:v>-0.20205</x:v>
      </x:c>
      <x:c r="E129" s="3"/>
      <x:c r="F129" s="3" t="str">
        <x:v>gross only; actual fees not recorded</x:v>
      </x:c>
      <x:c r="G129" s="9" t="n">
        <x:v>44.55</x:v>
      </x:c>
      <x:c r="H129" s="3" t="str">
        <x:v>Latest preceding buy; inferred</x:v>
      </x:c>
      <x:c r="I129" s="3" t="str">
        <x:v>production</x:v>
      </x:c>
      <x:c r="J129" s="3" t="str">
        <x:v>3680190540</x:v>
      </x:c>
      <x:c r="K129" s="3" t="str">
        <x:v>3680167581</x:v>
      </x:c>
      <x:c r="L129" s="8" t="n">
        <x:v>46280.42402777778</x:v>
      </x:c>
      <x:c r="M129" s="9" t="n">
        <x:v>0.1335</x:v>
      </x:c>
      <x:c r="N129" s="9" t="n">
        <x:v>0.1326</x:v>
      </x:c>
      <x:c r="O129" s="9" t="n">
        <x:v>224.5</x:v>
      </x:c>
      <x:c r="P129" s="10" t="n">
        <x:v>870</x:v>
      </x:c>
      <x:c r="Q129" s="10" t="n">
        <x:v>878</x:v>
      </x:c>
      <x:c r="R129" s="4" t="b">
        <x:v>0</x:v>
      </x:c>
      <x:c r="S129" s="4" t="b">
        <x:v>0</x:v>
      </x:c>
      <x:c r="T129" s="4" t="b">
        <x:v>1</x:v>
      </x:c>
      <x:c r="U129" s="4" t="b">
        <x:v>1</x:v>
      </x:c>
      <x:c r="V129" s="4" t="b">
        <x:v>1</x:v>
      </x:c>
      <x:c r="W129" s="4" t="b">
        <x:v>1</x:v>
      </x:c>
      <x:c r="X129" s="4" t="b">
        <x:v>1</x:v>
      </x:c>
    </x:row>
    <x:row r="130" ht="21" customHeight="1">
      <x:c r="A130" s="8" t="n">
        <x:v>46280.455034722225</x:v>
      </x:c>
      <x:c r="B130" s="3" t="str">
        <x:v>ADAUSDT</x:v>
      </x:c>
      <x:c r="C130" s="3" t="str">
        <x:v>stop loss</x:v>
      </x:c>
      <x:c r="D130" s="9" t="n">
        <x:v>-0.13212</x:v>
      </x:c>
      <x:c r="E130" s="3"/>
      <x:c r="F130" s="3" t="str">
        <x:v>gross only; actual fees not recorded</x:v>
      </x:c>
      <x:c r="G130" s="9" t="n">
        <x:v>15.116666666666667</x:v>
      </x:c>
      <x:c r="H130" s="3" t="str">
        <x:v>Latest preceding buy; inferred</x:v>
      </x:c>
      <x:c r="I130" s="3" t="str">
        <x:v>production</x:v>
      </x:c>
      <x:c r="J130" s="3" t="str">
        <x:v>8788896140</x:v>
      </x:c>
      <x:c r="K130" s="3" t="str">
        <x:v>8788887768</x:v>
      </x:c>
      <x:c r="L130" s="8" t="n">
        <x:v>46280.44453703704</x:v>
      </x:c>
      <x:c r="M130" s="9" t="n">
        <x:v>0.2042</x:v>
      </x:c>
      <x:c r="N130" s="9" t="n">
        <x:v>0.2033</x:v>
      </x:c>
      <x:c r="O130" s="9" t="n">
        <x:v>146.8</x:v>
      </x:c>
      <x:c r="P130" s="10" t="n">
        <x:v>876</x:v>
      </x:c>
      <x:c r="Q130" s="10" t="n">
        <x:v>879</x:v>
      </x:c>
      <x:c r="R130" s="4" t="b">
        <x:v>0</x:v>
      </x:c>
      <x:c r="S130" s="4" t="b">
        <x:v>1</x:v>
      </x:c>
      <x:c r="T130" s="4" t="b">
        <x:v>1</x:v>
      </x:c>
      <x:c r="U130" s="4" t="b">
        <x:v>1</x:v>
      </x:c>
      <x:c r="V130" s="4" t="b">
        <x:v>1</x:v>
      </x:c>
      <x:c r="W130" s="4" t="b">
        <x:v>1</x:v>
      </x:c>
      <x:c r="X130" s="4" t="b">
        <x:v>0</x:v>
      </x:c>
    </x:row>
    <x:row r="131" ht="21" customHeight="1">
      <x:c r="A131" s="8" t="n">
        <x:v>46280.45858796296</x:v>
      </x:c>
      <x:c r="B131" s="3" t="str">
        <x:v>XLMUSDT</x:v>
      </x:c>
      <x:c r="C131" s="3" t="str">
        <x:v>stop loss</x:v>
      </x:c>
      <x:c r="D131" s="9" t="n">
        <x:v>-0.1872</x:v>
      </x:c>
      <x:c r="E131" s="3"/>
      <x:c r="F131" s="3" t="str">
        <x:v>gross only; actual fees not recorded</x:v>
      </x:c>
      <x:c r="G131" s="9" t="n">
        <x:v>65.28333333333333</x:v>
      </x:c>
      <x:c r="H131" s="3" t="str">
        <x:v>Latest preceding buy; inferred</x:v>
      </x:c>
      <x:c r="I131" s="3" t="str">
        <x:v>production</x:v>
      </x:c>
      <x:c r="J131" s="3" t="str">
        <x:v>3859331828</x:v>
      </x:c>
      <x:c r="K131" s="3" t="str">
        <x:v>3859269863</x:v>
      </x:c>
      <x:c r="L131" s="8" t="n">
        <x:v>46280.413252314815</x:v>
      </x:c>
      <x:c r="M131" s="9" t="n">
        <x:v>0.1923</x:v>
      </x:c>
      <x:c r="N131" s="9" t="n">
        <x:v>0.1911</x:v>
      </x:c>
      <x:c r="O131" s="9" t="n">
        <x:v>156</x:v>
      </x:c>
      <x:c r="P131" s="10" t="n">
        <x:v>869</x:v>
      </x:c>
      <x:c r="Q131" s="10" t="n">
        <x:v>880</x:v>
      </x:c>
      <x:c r="R131" s="4" t="b">
        <x:v>0</x:v>
      </x:c>
      <x:c r="S131" s="4" t="b">
        <x:v>0</x:v>
      </x:c>
      <x:c r="T131" s="4" t="b">
        <x:v>1</x:v>
      </x:c>
      <x:c r="U131" s="4" t="b">
        <x:v>1</x:v>
      </x:c>
      <x:c r="V131" s="4" t="b">
        <x:v>1</x:v>
      </x:c>
      <x:c r="W131" s="4" t="b">
        <x:v>1</x:v>
      </x:c>
      <x:c r="X131" s="4" t="b">
        <x:v>1</x:v>
      </x:c>
    </x:row>
    <x:row r="132" ht="21" customHeight="1">
      <x:c r="A132" s="8" t="n">
        <x:v>46280.461875</x:v>
      </x:c>
      <x:c r="B132" s="3" t="str">
        <x:v>SNDKBUSDT</x:v>
      </x:c>
      <x:c r="C132" s="3" t="str">
        <x:v>stop loss</x:v>
      </x:c>
      <x:c r="D132" s="9" t="n">
        <x:v>-0.099552</x:v>
      </x:c>
      <x:c r="E132" s="3"/>
      <x:c r="F132" s="3" t="str">
        <x:v>gross only; actual fees not recorded</x:v>
      </x:c>
      <x:c r="G132" s="9" t="n">
        <x:v>49.75</x:v>
      </x:c>
      <x:c r="H132" s="3" t="str">
        <x:v>Latest preceding buy; inferred</x:v>
      </x:c>
      <x:c r="I132" s="3" t="str">
        <x:v>production</x:v>
      </x:c>
      <x:c r="J132" s="3" t="str">
        <x:v>347605486</x:v>
      </x:c>
      <x:c r="K132" s="3" t="str">
        <x:v>347521937</x:v>
      </x:c>
      <x:c r="L132" s="8" t="n">
        <x:v>46280.42732638889</x:v>
      </x:c>
      <x:c r="M132" s="9" t="n">
        <x:v>1559.756875</x:v>
      </x:c>
      <x:c r="N132" s="9" t="n">
        <x:v>1554.571875</x:v>
      </x:c>
      <x:c r="O132" s="9" t="n">
        <x:v>0.0192</x:v>
      </x:c>
      <x:c r="P132" s="10" t="n">
        <x:v>871</x:v>
      </x:c>
      <x:c r="Q132" s="10" t="n">
        <x:v>881</x:v>
      </x:c>
      <x:c r="R132" s="4" t="b">
        <x:v>0</x:v>
      </x:c>
      <x:c r="S132" s="4" t="b">
        <x:v>0</x:v>
      </x:c>
      <x:c r="T132" s="4" t="b">
        <x:v>1</x:v>
      </x:c>
      <x:c r="U132" s="4" t="b">
        <x:v>1</x:v>
      </x:c>
      <x:c r="V132" s="4" t="b">
        <x:v>1</x:v>
      </x:c>
      <x:c r="W132" s="4" t="b">
        <x:v>1</x:v>
      </x:c>
      <x:c r="X132" s="4" t="b">
        <x:v>1</x:v>
      </x:c>
    </x:row>
    <x:row r="133" ht="21" customHeight="1">
      <x:c r="A133" s="8" t="n">
        <x:v>46280.46221064815</x:v>
      </x:c>
      <x:c r="B133" s="3" t="str">
        <x:v>SOXLBUSDT</x:v>
      </x:c>
      <x:c r="C133" s="3" t="str">
        <x:v>stop loss</x:v>
      </x:c>
      <x:c r="D133" s="9" t="n">
        <x:v>-0.21329</x:v>
      </x:c>
      <x:c r="E133" s="3"/>
      <x:c r="F133" s="3" t="str">
        <x:v>gross only; actual fees not recorded</x:v>
      </x:c>
      <x:c r="G133" s="9" t="n">
        <x:v>20.316666666666666</x:v>
      </x:c>
      <x:c r="H133" s="3" t="str">
        <x:v>Latest preceding buy; inferred</x:v>
      </x:c>
      <x:c r="I133" s="3" t="str">
        <x:v>production</x:v>
      </x:c>
      <x:c r="J133" s="3" t="str">
        <x:v>183772269</x:v>
      </x:c>
      <x:c r="K133" s="3" t="str">
        <x:v>183741846</x:v>
      </x:c>
      <x:c r="L133" s="8" t="n">
        <x:v>46280.44810185185</x:v>
      </x:c>
      <x:c r="M133" s="9" t="n">
        <x:v>101.74</x:v>
      </x:c>
      <x:c r="N133" s="9" t="n">
        <x:v>100.97</x:v>
      </x:c>
      <x:c r="O133" s="9" t="n">
        <x:v>0.277</x:v>
      </x:c>
      <x:c r="P133" s="10" t="n">
        <x:v>877</x:v>
      </x:c>
      <x:c r="Q133" s="10" t="n">
        <x:v>882</x:v>
      </x:c>
      <x:c r="R133" s="4" t="b">
        <x:v>0</x:v>
      </x:c>
      <x:c r="S133" s="4" t="b">
        <x:v>0</x:v>
      </x:c>
      <x:c r="T133" s="4" t="b">
        <x:v>1</x:v>
      </x:c>
      <x:c r="U133" s="4" t="b">
        <x:v>1</x:v>
      </x:c>
      <x:c r="V133" s="4" t="b">
        <x:v>1</x:v>
      </x:c>
      <x:c r="W133" s="4" t="b">
        <x:v>1</x:v>
      </x:c>
      <x:c r="X133" s="4" t="b">
        <x:v>1</x:v>
      </x:c>
    </x:row>
    <x:row r="134" ht="21" customHeight="1">
      <x:c r="A134" s="8" t="n">
        <x:v>46280.465474537035</x:v>
      </x:c>
      <x:c r="B134" s="3" t="str">
        <x:v>TRUMPUSDT</x:v>
      </x:c>
      <x:c r="C134" s="3" t="str">
        <x:v>stop loss</x:v>
      </x:c>
      <x:c r="D134" s="9" t="n">
        <x:v>-0.168113</x:v>
      </x:c>
      <x:c r="E134" s="3"/>
      <x:c r="F134" s="3" t="str">
        <x:v>gross only; actual fees not recorded</x:v>
      </x:c>
      <x:c r="G134" s="9" t="n">
        <x:v>34.733333333333334</x:v>
      </x:c>
      <x:c r="H134" s="3" t="str">
        <x:v>Latest preceding buy; inferred</x:v>
      </x:c>
      <x:c r="I134" s="3" t="str">
        <x:v>production</x:v>
      </x:c>
      <x:c r="J134" s="3" t="str">
        <x:v>2083884882</x:v>
      </x:c>
      <x:c r="K134" s="3" t="str">
        <x:v>2083871867</x:v>
      </x:c>
      <x:c r="L134" s="8" t="n">
        <x:v>46280.441354166665</x:v>
      </x:c>
      <x:c r="M134" s="9" t="n">
        <x:v>1.961</x:v>
      </x:c>
      <x:c r="N134" s="9" t="n">
        <x:v>1.95</x:v>
      </x:c>
      <x:c r="O134" s="9" t="n">
        <x:v>15.283</x:v>
      </x:c>
      <x:c r="P134" s="10" t="n">
        <x:v>875</x:v>
      </x:c>
      <x:c r="Q134" s="10" t="n">
        <x:v>883</x:v>
      </x:c>
      <x:c r="R134" s="4" t="b">
        <x:v>0</x:v>
      </x:c>
      <x:c r="S134" s="4" t="b">
        <x:v>0</x:v>
      </x:c>
      <x:c r="T134" s="4" t="b">
        <x:v>1</x:v>
      </x:c>
      <x:c r="U134" s="4" t="b">
        <x:v>1</x:v>
      </x:c>
      <x:c r="V134" s="4" t="b">
        <x:v>1</x:v>
      </x:c>
      <x:c r="W134" s="4" t="b">
        <x:v>1</x:v>
      </x:c>
      <x:c r="X134" s="4" t="b">
        <x:v>1</x:v>
      </x:c>
    </x:row>
    <x:row r="135" ht="21" customHeight="1">
      <x:c r="A135" s="8" t="n">
        <x:v>46280.574525462966</x:v>
      </x:c>
      <x:c r="B135" s="3" t="str">
        <x:v>CRCLBUSDT</x:v>
      </x:c>
      <x:c r="C135" s="3" t="str">
        <x:v>take profit</x:v>
      </x:c>
      <x:c r="D135" s="9" t="n">
        <x:v>0.112</x:v>
      </x:c>
      <x:c r="E135" s="3"/>
      <x:c r="F135" s="3" t="str">
        <x:v>gross only; actual fees not recorded</x:v>
      </x:c>
      <x:c r="G135" s="9" t="n">
        <x:v>42.18333333333333</x:v>
      </x:c>
      <x:c r="H135" s="3" t="str">
        <x:v>Latest preceding buy; inferred</x:v>
      </x:c>
      <x:c r="I135" s="3" t="str">
        <x:v>production</x:v>
      </x:c>
      <x:c r="J135" s="3" t="str">
        <x:v>89737620</x:v>
      </x:c>
      <x:c r="K135" s="3" t="str">
        <x:v>89704418</x:v>
      </x:c>
      <x:c r="L135" s="8" t="n">
        <x:v>46280.54523148148</x:v>
      </x:c>
      <x:c r="M135" s="9" t="n">
        <x:v>92.3</x:v>
      </x:c>
      <x:c r="N135" s="9" t="n">
        <x:v>92.65</x:v>
      </x:c>
      <x:c r="O135" s="9" t="n">
        <x:v>0.32</x:v>
      </x:c>
      <x:c r="P135" s="10" t="n">
        <x:v>886</x:v>
      </x:c>
      <x:c r="Q135" s="10" t="n">
        <x:v>890</x:v>
      </x:c>
      <x:c r="R135" s="4" t="b">
        <x:v>0</x:v>
      </x:c>
      <x:c r="S135" s="4" t="b">
        <x:v>0</x:v>
      </x:c>
      <x:c r="T135" s="4" t="b">
        <x:v>1</x:v>
      </x:c>
      <x:c r="U135" s="4" t="b">
        <x:v>1</x:v>
      </x:c>
      <x:c r="V135" s="4" t="b">
        <x:v>1</x:v>
      </x:c>
      <x:c r="W135" s="4" t="b">
        <x:v>1</x:v>
      </x:c>
      <x:c r="X135" s="4" t="b">
        <x:v>1</x:v>
      </x:c>
    </x:row>
    <x:row r="136" ht="21" customHeight="1">
      <x:c r="A136" s="8" t="n">
        <x:v>46280.59054398148</x:v>
      </x:c>
      <x:c r="B136" s="3" t="str">
        <x:v>FILUSDT</x:v>
      </x:c>
      <x:c r="C136" s="3" t="str">
        <x:v>stop loss</x:v>
      </x:c>
      <x:c r="D136" s="9" t="n">
        <x:v>-0.324</x:v>
      </x:c>
      <x:c r="E136" s="3"/>
      <x:c r="F136" s="3" t="str">
        <x:v>gross only; actual fees not recorded</x:v>
      </x:c>
      <x:c r="G136" s="9" t="n">
        <x:v>60.083333333333336</x:v>
      </x:c>
      <x:c r="H136" s="3" t="str">
        <x:v>Latest preceding buy; inferred</x:v>
      </x:c>
      <x:c r="I136" s="3" t="str">
        <x:v>production</x:v>
      </x:c>
      <x:c r="J136" s="3" t="str">
        <x:v>5271484952</x:v>
      </x:c>
      <x:c r="K136" s="3" t="str">
        <x:v>5271392637</x:v>
      </x:c>
      <x:c r="L136" s="8" t="n">
        <x:v>46280.54881944445</x:v>
      </x:c>
      <x:c r="M136" s="9" t="n">
        <x:v>0.8877</x:v>
      </x:c>
      <x:c r="N136" s="9" t="n">
        <x:v>0.8781</x:v>
      </x:c>
      <x:c r="O136" s="9" t="n">
        <x:v>33.75</x:v>
      </x:c>
      <x:c r="P136" s="10" t="n">
        <x:v>887</x:v>
      </x:c>
      <x:c r="Q136" s="10" t="n">
        <x:v>892</x:v>
      </x:c>
      <x:c r="R136" s="4" t="b">
        <x:v>0</x:v>
      </x:c>
      <x:c r="S136" s="4" t="b">
        <x:v>0</x:v>
      </x:c>
      <x:c r="T136" s="4" t="b">
        <x:v>1</x:v>
      </x:c>
      <x:c r="U136" s="4" t="b">
        <x:v>1</x:v>
      </x:c>
      <x:c r="V136" s="4" t="b">
        <x:v>1</x:v>
      </x:c>
      <x:c r="W136" s="4" t="b">
        <x:v>1</x:v>
      </x:c>
      <x:c r="X136" s="4" t="b">
        <x:v>1</x:v>
      </x:c>
    </x:row>
    <x:row r="137" ht="21" customHeight="1">
      <x:c r="A137" s="8" t="n">
        <x:v>46280.590775462966</x:v>
      </x:c>
      <x:c r="B137" s="3" t="str">
        <x:v>AAVEUSDT</x:v>
      </x:c>
      <x:c r="C137" s="3" t="str">
        <x:v>take profit</x:v>
      </x:c>
      <x:c r="D137" s="9" t="n">
        <x:v>0.1032</x:v>
      </x:c>
      <x:c r="E137" s="3"/>
      <x:c r="F137" s="3" t="str">
        <x:v>gross only; actual fees not recorded</x:v>
      </x:c>
      <x:c r="G137" s="9" t="n">
        <x:v>55.083333333333336</x:v>
      </x:c>
      <x:c r="H137" s="3" t="str">
        <x:v>Latest preceding buy; inferred</x:v>
      </x:c>
      <x:c r="I137" s="3" t="str">
        <x:v>production</x:v>
      </x:c>
      <x:c r="J137" s="3" t="str">
        <x:v>5707952137</x:v>
      </x:c>
      <x:c r="K137" s="3" t="str">
        <x:v>5707904026</x:v>
      </x:c>
      <x:c r="L137" s="8" t="n">
        <x:v>46280.55252314815</x:v>
      </x:c>
      <x:c r="M137" s="9" t="n">
        <x:v>127.47</x:v>
      </x:c>
      <x:c r="N137" s="9" t="n">
        <x:v>127.95</x:v>
      </x:c>
      <x:c r="O137" s="9" t="n">
        <x:v>0.215</x:v>
      </x:c>
      <x:c r="P137" s="10" t="n">
        <x:v>889</x:v>
      </x:c>
      <x:c r="Q137" s="10" t="n">
        <x:v>894</x:v>
      </x:c>
      <x:c r="R137" s="4" t="b">
        <x:v>0</x:v>
      </x:c>
      <x:c r="S137" s="4" t="b">
        <x:v>0</x:v>
      </x:c>
      <x:c r="T137" s="4" t="b">
        <x:v>1</x:v>
      </x:c>
      <x:c r="U137" s="4" t="b">
        <x:v>1</x:v>
      </x:c>
      <x:c r="V137" s="4" t="b">
        <x:v>1</x:v>
      </x:c>
      <x:c r="W137" s="4" t="b">
        <x:v>1</x:v>
      </x:c>
      <x:c r="X137" s="4" t="b">
        <x:v>1</x:v>
      </x:c>
    </x:row>
    <x:row r="138" ht="21" customHeight="1">
      <x:c r="A138" s="8" t="n">
        <x:v>46280.59415509259</x:v>
      </x:c>
      <x:c r="B138" s="3" t="str">
        <x:v>PUMPUSDT</x:v>
      </x:c>
      <x:c r="C138" s="3" t="str">
        <x:v>stop loss</x:v>
      </x:c>
      <x:c r="D138" s="9" t="n">
        <x:v>-0.15166380040929336</x:v>
      </x:c>
      <x:c r="E138" s="3"/>
      <x:c r="F138" s="3" t="str">
        <x:v>gross only; actual fees not recorded</x:v>
      </x:c>
      <x:c r="G138" s="9" t="n">
        <x:v>60.1</x:v>
      </x:c>
      <x:c r="H138" s="3" t="str">
        <x:v>Latest preceding buy; inferred</x:v>
      </x:c>
      <x:c r="I138" s="3" t="str">
        <x:v>production</x:v>
      </x:c>
      <x:c r="J138" s="3" t="str">
        <x:v>881626125</x:v>
      </x:c>
      <x:c r="K138" s="3" t="str">
        <x:v>881586078</x:v>
      </x:c>
      <x:c r="L138" s="8" t="n">
        <x:v>46280.55241898148</x:v>
      </x:c>
      <x:c r="M138" s="9" t="n">
        <x:v>0.003611274948838329</x:v>
      </x:c>
      <x:c r="N138" s="9" t="n">
        <x:v>0.003593</x:v>
      </x:c>
      <x:c r="O138" s="9" t="n">
        <x:v>8299</x:v>
      </x:c>
      <x:c r="P138" s="10" t="n">
        <x:v>888</x:v>
      </x:c>
      <x:c r="Q138" s="10" t="n">
        <x:v>896</x:v>
      </x:c>
      <x:c r="R138" s="4" t="b">
        <x:v>0</x:v>
      </x:c>
      <x:c r="S138" s="4" t="b">
        <x:v>0</x:v>
      </x:c>
      <x:c r="T138" s="4" t="b">
        <x:v>1</x:v>
      </x:c>
      <x:c r="U138" s="4" t="b">
        <x:v>1</x:v>
      </x:c>
      <x:c r="V138" s="4" t="b">
        <x:v>1</x:v>
      </x:c>
      <x:c r="W138" s="4" t="b">
        <x:v>1</x:v>
      </x:c>
      <x:c r="X138" s="4" t="b">
        <x:v>1</x:v>
      </x:c>
    </x:row>
    <x:row r="139" ht="21" customHeight="1">
      <x:c r="A139" s="8" t="n">
        <x:v>46280.597453703704</x:v>
      </x:c>
      <x:c r="B139" s="3" t="str">
        <x:v>ENAUSDT</x:v>
      </x:c>
      <x:c r="C139" s="3" t="str">
        <x:v>stop loss</x:v>
      </x:c>
      <x:c r="D139" s="9" t="n">
        <x:v>-0.22847</x:v>
      </x:c>
      <x:c r="E139" s="3"/>
      <x:c r="F139" s="3" t="str">
        <x:v>gross only; actual fees not recorded</x:v>
      </x:c>
      <x:c r="G139" s="9" t="n">
        <x:v>9.933333333333334</x:v>
      </x:c>
      <x:c r="H139" s="3" t="str">
        <x:v>Latest preceding buy; inferred</x:v>
      </x:c>
      <x:c r="I139" s="3" t="str">
        <x:v>production</x:v>
      </x:c>
      <x:c r="J139" s="3" t="str">
        <x:v>3405511950</x:v>
      </x:c>
      <x:c r="K139" s="3" t="str">
        <x:v>3405500676</x:v>
      </x:c>
      <x:c r="L139" s="8" t="n">
        <x:v>46280.59055555556</x:v>
      </x:c>
      <x:c r="M139" s="9" t="n">
        <x:v>0.1429</x:v>
      </x:c>
      <x:c r="N139" s="9" t="n">
        <x:v>0.1418</x:v>
      </x:c>
      <x:c r="O139" s="9" t="n">
        <x:v>207.7</x:v>
      </x:c>
      <x:c r="P139" s="10" t="n">
        <x:v>893</x:v>
      </x:c>
      <x:c r="Q139" s="10" t="n">
        <x:v>898</x:v>
      </x:c>
      <x:c r="R139" s="4" t="b">
        <x:v>0</x:v>
      </x:c>
      <x:c r="S139" s="4" t="b">
        <x:v>1</x:v>
      </x:c>
      <x:c r="T139" s="4" t="b">
        <x:v>1</x:v>
      </x:c>
      <x:c r="U139" s="4" t="b">
        <x:v>1</x:v>
      </x:c>
      <x:c r="V139" s="4" t="b">
        <x:v>1</x:v>
      </x:c>
      <x:c r="W139" s="4" t="b">
        <x:v>1</x:v>
      </x:c>
      <x:c r="X139" s="4" t="b">
        <x:v>1</x:v>
      </x:c>
    </x:row>
    <x:row r="140" ht="21" customHeight="1">
      <x:c r="A140" s="8" t="n">
        <x:v>46280.600752314815</x:v>
      </x:c>
      <x:c r="B140" s="3" t="str">
        <x:v>INJUSDT</x:v>
      </x:c>
      <x:c r="C140" s="3" t="str">
        <x:v>stop loss</x:v>
      </x:c>
      <x:c r="D140" s="9" t="n">
        <x:v>-0.2347</x:v>
      </x:c>
      <x:c r="E140" s="3"/>
      <x:c r="F140" s="3" t="str">
        <x:v>gross only; actual fees not recorded</x:v>
      </x:c>
      <x:c r="G140" s="9" t="n">
        <x:v>13.966666666666667</x:v>
      </x:c>
      <x:c r="H140" s="3" t="str">
        <x:v>Latest preceding buy; inferred</x:v>
      </x:c>
      <x:c r="I140" s="3" t="str">
        <x:v>production</x:v>
      </x:c>
      <x:c r="J140" s="3" t="str">
        <x:v>3164149004</x:v>
      </x:c>
      <x:c r="K140" s="3" t="str">
        <x:v>3164139251</x:v>
      </x:c>
      <x:c r="L140" s="8" t="n">
        <x:v>46280.59105324074</x:v>
      </x:c>
      <x:c r="M140" s="9" t="n">
        <x:v>6.014</x:v>
      </x:c>
      <x:c r="N140" s="9" t="n">
        <x:v>5.962417582417582</x:v>
      </x:c>
      <x:c r="O140" s="9" t="n">
        <x:v>4.55</x:v>
      </x:c>
      <x:c r="P140" s="10" t="n">
        <x:v>895</x:v>
      </x:c>
      <x:c r="Q140" s="10" t="n">
        <x:v>900</x:v>
      </x:c>
      <x:c r="R140" s="4" t="b">
        <x:v>0</x:v>
      </x:c>
      <x:c r="S140" s="4" t="b">
        <x:v>1</x:v>
      </x:c>
      <x:c r="T140" s="4" t="b">
        <x:v>0</x:v>
      </x:c>
      <x:c r="U140" s="4" t="b">
        <x:v>1</x:v>
      </x:c>
      <x:c r="V140" s="4" t="b">
        <x:v>1</x:v>
      </x:c>
      <x:c r="W140" s="4" t="b">
        <x:v>1</x:v>
      </x:c>
      <x:c r="X140" s="4" t="b">
        <x:v>1</x:v>
      </x:c>
    </x:row>
    <x:row r="141" ht="21" customHeight="1">
      <x:c r="A141" s="8" t="n">
        <x:v>46280.60103009259</x:v>
      </x:c>
      <x:c r="B141" s="3" t="str">
        <x:v>NEARUSDT</x:v>
      </x:c>
      <x:c r="C141" s="3" t="str">
        <x:v>stop loss</x:v>
      </x:c>
      <x:c r="D141" s="9" t="n">
        <x:v>-0.2604</x:v>
      </x:c>
      <x:c r="E141" s="3"/>
      <x:c r="F141" s="3" t="str">
        <x:v>gross only; actual fees not recorded</x:v>
      </x:c>
      <x:c r="G141" s="9" t="n">
        <x:v>9.883333333333333</x:v>
      </x:c>
      <x:c r="H141" s="3" t="str">
        <x:v>Latest preceding buy; inferred</x:v>
      </x:c>
      <x:c r="I141" s="3" t="str">
        <x:v>production</x:v>
      </x:c>
      <x:c r="J141" s="3" t="str">
        <x:v>5128730387</x:v>
      </x:c>
      <x:c r="K141" s="3" t="str">
        <x:v>5128719021</x:v>
      </x:c>
      <x:c r="L141" s="8" t="n">
        <x:v>46280.59416666667</x:v>
      </x:c>
      <x:c r="M141" s="9" t="n">
        <x:v>2.396</x:v>
      </x:c>
      <x:c r="N141" s="9" t="n">
        <x:v>2.375</x:v>
      </x:c>
      <x:c r="O141" s="9" t="n">
        <x:v>12.4</x:v>
      </x:c>
      <x:c r="P141" s="10" t="n">
        <x:v>897</x:v>
      </x:c>
      <x:c r="Q141" s="10" t="n">
        <x:v>901</x:v>
      </x:c>
      <x:c r="R141" s="4" t="b">
        <x:v>0</x:v>
      </x:c>
      <x:c r="S141" s="4" t="b">
        <x:v>0</x:v>
      </x:c>
      <x:c r="T141" s="4" t="b">
        <x:v>1</x:v>
      </x:c>
      <x:c r="U141" s="4" t="b">
        <x:v>1</x:v>
      </x:c>
      <x:c r="V141" s="4" t="b">
        <x:v>1</x:v>
      </x:c>
      <x:c r="W141" s="4" t="b">
        <x:v>1</x:v>
      </x:c>
      <x:c r="X141" s="4" t="b">
        <x:v>1</x:v>
      </x:c>
    </x:row>
    <x:row r="142" ht="21" customHeight="1">
      <x:c r="A142" s="8" t="n">
        <x:v>46280.60107638889</x:v>
      </x:c>
      <x:c r="B142" s="3" t="str">
        <x:v>XRPUSDT</x:v>
      </x:c>
      <x:c r="C142" s="3" t="str">
        <x:v>stop loss</x:v>
      </x:c>
      <x:c r="D142" s="9" t="n">
        <x:v>-0.10128</x:v>
      </x:c>
      <x:c r="E142" s="3"/>
      <x:c r="F142" s="3" t="str">
        <x:v>gross only; actual fees not recorded</x:v>
      </x:c>
      <x:c r="G142" s="9" t="n">
        <x:v>38.083333333333336</x:v>
      </x:c>
      <x:c r="H142" s="3" t="str">
        <x:v>Latest preceding buy; inferred</x:v>
      </x:c>
      <x:c r="I142" s="3" t="str">
        <x:v>production</x:v>
      </x:c>
      <x:c r="J142" s="3" t="str">
        <x:v>15444372230</x:v>
      </x:c>
      <x:c r="K142" s="3" t="str">
        <x:v>15444274243</x:v>
      </x:c>
      <x:c r="L142" s="8" t="n">
        <x:v>46280.57462962963</x:v>
      </x:c>
      <x:c r="M142" s="9" t="n">
        <x:v>1.4026</x:v>
      </x:c>
      <x:c r="N142" s="9" t="n">
        <x:v>1.3978</x:v>
      </x:c>
      <x:c r="O142" s="9" t="n">
        <x:v>21.1</x:v>
      </x:c>
      <x:c r="P142" s="10" t="n">
        <x:v>891</x:v>
      </x:c>
      <x:c r="Q142" s="10" t="n">
        <x:v>903</x:v>
      </x:c>
      <x:c r="R142" s="4" t="b">
        <x:v>0</x:v>
      </x:c>
      <x:c r="S142" s="4" t="b">
        <x:v>0</x:v>
      </x:c>
      <x:c r="T142" s="4" t="b">
        <x:v>1</x:v>
      </x:c>
      <x:c r="U142" s="4" t="b">
        <x:v>1</x:v>
      </x:c>
      <x:c r="V142" s="4" t="b">
        <x:v>1</x:v>
      </x:c>
      <x:c r="W142" s="4" t="b">
        <x:v>1</x:v>
      </x:c>
      <x:c r="X142" s="4" t="b">
        <x:v>1</x:v>
      </x:c>
    </x:row>
    <x:row r="143" ht="21" customHeight="1">
      <x:c r="A143" s="8" t="n">
        <x:v>46280.60113425926</x:v>
      </x:c>
      <x:c r="B143" s="3" t="str">
        <x:v>LINKUSDT</x:v>
      </x:c>
      <x:c r="C143" s="3" t="str">
        <x:v>stop loss</x:v>
      </x:c>
      <x:c r="D143" s="9" t="n">
        <x:v>-0.08122</x:v>
      </x:c>
      <x:c r="E143" s="3"/>
      <x:c r="F143" s="3" t="str">
        <x:v>gross only; actual fees not recorded</x:v>
      </x:c>
      <x:c r="G143" s="9" t="n">
        <x:v>85.16666666666667</x:v>
      </x:c>
      <x:c r="H143" s="3" t="str">
        <x:v>Latest preceding buy; inferred</x:v>
      </x:c>
      <x:c r="I143" s="3" t="str">
        <x:v>production</x:v>
      </x:c>
      <x:c r="J143" s="3" t="str">
        <x:v>8013298961</x:v>
      </x:c>
      <x:c r="K143" s="3" t="str">
        <x:v>8013219021</x:v>
      </x:c>
      <x:c r="L143" s="8" t="n">
        <x:v>46280.54199074074</x:v>
      </x:c>
      <x:c r="M143" s="9" t="n">
        <x:v>11.393</x:v>
      </x:c>
      <x:c r="N143" s="9" t="n">
        <x:v>11.362</x:v>
      </x:c>
      <x:c r="O143" s="9" t="n">
        <x:v>2.62</x:v>
      </x:c>
      <x:c r="P143" s="10" t="n">
        <x:v>884</x:v>
      </x:c>
      <x:c r="Q143" s="10" t="n">
        <x:v>904</x:v>
      </x:c>
      <x:c r="R143" s="4" t="b">
        <x:v>0</x:v>
      </x:c>
      <x:c r="S143" s="4" t="b">
        <x:v>0</x:v>
      </x:c>
      <x:c r="T143" s="4" t="b">
        <x:v>1</x:v>
      </x:c>
      <x:c r="U143" s="4" t="b">
        <x:v>1</x:v>
      </x:c>
      <x:c r="V143" s="4" t="b">
        <x:v>1</x:v>
      </x:c>
      <x:c r="W143" s="4" t="b">
        <x:v>1</x:v>
      </x:c>
      <x:c r="X143" s="4" t="b">
        <x:v>1</x:v>
      </x:c>
    </x:row>
    <x:row r="144" ht="21" customHeight="1">
      <x:c r="A144" s="8" t="n">
        <x:v>46280.604409722226</x:v>
      </x:c>
      <x:c r="B144" s="3" t="str">
        <x:v>ADAUSDT</x:v>
      </x:c>
      <x:c r="C144" s="3" t="str">
        <x:v>stop loss</x:v>
      </x:c>
      <x:c r="D144" s="9" t="n">
        <x:v>-0.08754</x:v>
      </x:c>
      <x:c r="E144" s="3"/>
      <x:c r="F144" s="3" t="str">
        <x:v>gross only; actual fees not recorded</x:v>
      </x:c>
      <x:c r="G144" s="9" t="n">
        <x:v>89.83333333333333</x:v>
      </x:c>
      <x:c r="H144" s="3" t="str">
        <x:v>Latest preceding buy; inferred</x:v>
      </x:c>
      <x:c r="I144" s="3" t="str">
        <x:v>production</x:v>
      </x:c>
      <x:c r="J144" s="3" t="str">
        <x:v>8788995284</x:v>
      </x:c>
      <x:c r="K144" s="3" t="str">
        <x:v>8788955445</x:v>
      </x:c>
      <x:c r="L144" s="8" t="n">
        <x:v>46280.542025462964</x:v>
      </x:c>
      <x:c r="M144" s="9" t="n">
        <x:v>0.2052</x:v>
      </x:c>
      <x:c r="N144" s="9" t="n">
        <x:v>0.2046</x:v>
      </x:c>
      <x:c r="O144" s="9" t="n">
        <x:v>145.9</x:v>
      </x:c>
      <x:c r="P144" s="10" t="n">
        <x:v>885</x:v>
      </x:c>
      <x:c r="Q144" s="10" t="n">
        <x:v>907</x:v>
      </x:c>
      <x:c r="R144" s="4" t="b">
        <x:v>0</x:v>
      </x:c>
      <x:c r="S144" s="4" t="b">
        <x:v>0</x:v>
      </x:c>
      <x:c r="T144" s="4" t="b">
        <x:v>1</x:v>
      </x:c>
      <x:c r="U144" s="4" t="b">
        <x:v>1</x:v>
      </x:c>
      <x:c r="V144" s="4" t="b">
        <x:v>1</x:v>
      </x:c>
      <x:c r="W144" s="4" t="b">
        <x:v>1</x:v>
      </x:c>
      <x:c r="X144" s="4" t="b">
        <x:v>1</x:v>
      </x:c>
    </x:row>
    <x:row r="145" ht="21" customHeight="1">
      <x:c r="A145" s="8" t="n">
        <x:v>46280.60806712963</x:v>
      </x:c>
      <x:c r="B145" s="3" t="str">
        <x:v>WLDUSDT</x:v>
      </x:c>
      <x:c r="C145" s="3" t="str">
        <x:v>stop loss</x:v>
      </x:c>
      <x:c r="D145" s="9" t="n">
        <x:v>-0.19224</x:v>
      </x:c>
      <x:c r="E145" s="3"/>
      <x:c r="F145" s="3" t="str">
        <x:v>gross only; actual fees not recorded</x:v>
      </x:c>
      <x:c r="G145" s="9" t="n">
        <x:v>9.933333333333334</x:v>
      </x:c>
      <x:c r="H145" s="3" t="str">
        <x:v>Latest preceding buy; inferred</x:v>
      </x:c>
      <x:c r="I145" s="3" t="str">
        <x:v>production</x:v>
      </x:c>
      <x:c r="J145" s="3" t="str">
        <x:v>4154721666</x:v>
      </x:c>
      <x:c r="K145" s="3" t="str">
        <x:v>4154710600</x:v>
      </x:c>
      <x:c r="L145" s="8" t="n">
        <x:v>46280.601168981484</x:v>
      </x:c>
      <x:c r="M145" s="9" t="n">
        <x:v>0.3737</x:v>
      </x:c>
      <x:c r="N145" s="9" t="n">
        <x:v>0.3713</x:v>
      </x:c>
      <x:c r="O145" s="9" t="n">
        <x:v>80.1</x:v>
      </x:c>
      <x:c r="P145" s="10" t="n">
        <x:v>906</x:v>
      </x:c>
      <x:c r="Q145" s="10" t="n">
        <x:v>908</x:v>
      </x:c>
      <x:c r="R145" s="4" t="b">
        <x:v>0</x:v>
      </x:c>
      <x:c r="S145" s="4" t="b">
        <x:v>0</x:v>
      </x:c>
      <x:c r="T145" s="4" t="b">
        <x:v>1</x:v>
      </x:c>
      <x:c r="U145" s="4" t="b">
        <x:v>1</x:v>
      </x:c>
      <x:c r="V145" s="4" t="b">
        <x:v>1</x:v>
      </x:c>
      <x:c r="W145" s="4" t="b">
        <x:v>1</x:v>
      </x:c>
      <x:c r="X145" s="4" t="b">
        <x:v>1</x:v>
      </x:c>
    </x:row>
    <x:row r="146" ht="21" customHeight="1">
      <x:c r="A146" s="8" t="n">
        <x:v>46280.60810185185</x:v>
      </x:c>
      <x:c r="B146" s="3" t="str">
        <x:v>SUIUSDT</x:v>
      </x:c>
      <x:c r="C146" s="3" t="str">
        <x:v>stop loss</x:v>
      </x:c>
      <x:c r="D146" s="9" t="n">
        <x:v>-0.17056</x:v>
      </x:c>
      <x:c r="E146" s="3"/>
      <x:c r="F146" s="3" t="str">
        <x:v>gross only; actual fees not recorded</x:v>
      </x:c>
      <x:c r="G146" s="9" t="n">
        <x:v>15.25</x:v>
      </x:c>
      <x:c r="H146" s="3" t="str">
        <x:v>Latest preceding buy; inferred</x:v>
      </x:c>
      <x:c r="I146" s="3" t="str">
        <x:v>production</x:v>
      </x:c>
      <x:c r="J146" s="3" t="str">
        <x:v>8854986049</x:v>
      </x:c>
      <x:c r="K146" s="3" t="str">
        <x:v>8854967484</x:v>
      </x:c>
      <x:c r="L146" s="8" t="n">
        <x:v>46280.59751157407</x:v>
      </x:c>
      <x:c r="M146" s="9" t="n">
        <x:v>0.7099</x:v>
      </x:c>
      <x:c r="N146" s="9" t="n">
        <x:v>0.7058</x:v>
      </x:c>
      <x:c r="O146" s="9" t="n">
        <x:v>41.6</x:v>
      </x:c>
      <x:c r="P146" s="10" t="n">
        <x:v>899</x:v>
      </x:c>
      <x:c r="Q146" s="10" t="n">
        <x:v>909</x:v>
      </x:c>
      <x:c r="R146" s="4" t="b">
        <x:v>0</x:v>
      </x:c>
      <x:c r="S146" s="4" t="b">
        <x:v>0</x:v>
      </x:c>
      <x:c r="T146" s="4" t="b">
        <x:v>1</x:v>
      </x:c>
      <x:c r="U146" s="4" t="b">
        <x:v>1</x:v>
      </x:c>
      <x:c r="V146" s="4" t="b">
        <x:v>1</x:v>
      </x:c>
      <x:c r="W146" s="4" t="b">
        <x:v>1</x:v>
      </x:c>
      <x:c r="X146" s="4" t="b">
        <x:v>1</x:v>
      </x:c>
    </x:row>
    <x:row r="147" ht="21" customHeight="1">
      <x:c r="A147" s="8" t="n">
        <x:v>46280.61150462963</x:v>
      </x:c>
      <x:c r="B147" s="3" t="str">
        <x:v>AAVEUSDT</x:v>
      </x:c>
      <x:c r="C147" s="3" t="str">
        <x:v>stop loss</x:v>
      </x:c>
      <x:c r="D147" s="9" t="n">
        <x:v>-0.13517</x:v>
      </x:c>
      <x:c r="E147" s="3"/>
      <x:c r="F147" s="3" t="str">
        <x:v>gross only; actual fees not recorded</x:v>
      </x:c>
      <x:c r="G147" s="9" t="n">
        <x:v>14.916666666666666</x:v>
      </x:c>
      <x:c r="H147" s="3" t="str">
        <x:v>Latest preceding buy; inferred</x:v>
      </x:c>
      <x:c r="I147" s="3" t="str">
        <x:v>production</x:v>
      </x:c>
      <x:c r="J147" s="3" t="str">
        <x:v>5707986202</x:v>
      </x:c>
      <x:c r="K147" s="3" t="str">
        <x:v>5707971667</x:v>
      </x:c>
      <x:c r="L147" s="8" t="n">
        <x:v>46280.60114583333</x:v>
      </x:c>
      <x:c r="M147" s="9" t="n">
        <x:v>127.28</x:v>
      </x:c>
      <x:c r="N147" s="9" t="n">
        <x:v>126.7048085106383</x:v>
      </x:c>
      <x:c r="O147" s="9" t="n">
        <x:v>0.235</x:v>
      </x:c>
      <x:c r="P147" s="10" t="n">
        <x:v>905</x:v>
      </x:c>
      <x:c r="Q147" s="10" t="n">
        <x:v>911</x:v>
      </x:c>
      <x:c r="R147" s="4" t="b">
        <x:v>0</x:v>
      </x:c>
      <x:c r="S147" s="4" t="b">
        <x:v>0</x:v>
      </x:c>
      <x:c r="T147" s="4" t="b">
        <x:v>1</x:v>
      </x:c>
      <x:c r="U147" s="4" t="b">
        <x:v>1</x:v>
      </x:c>
      <x:c r="V147" s="4" t="b">
        <x:v>1</x:v>
      </x:c>
      <x:c r="W147" s="4" t="b">
        <x:v>1</x:v>
      </x:c>
      <x:c r="X147" s="4" t="b">
        <x:v>1</x:v>
      </x:c>
    </x:row>
    <x:row r="148" ht="21" customHeight="1">
      <x:c r="A148" s="8" t="n">
        <x:v>46280.641435185185</x:v>
      </x:c>
      <x:c r="B148" s="3" t="str">
        <x:v>PEPEUSDT</x:v>
      </x:c>
      <x:c r="C148" s="3" t="str">
        <x:v>take profit</x:v>
      </x:c>
      <x:c r="D148" s="9" t="n">
        <x:v>0.17424418</x:v>
      </x:c>
      <x:c r="E148" s="3"/>
      <x:c r="F148" s="3" t="str">
        <x:v>gross only; actual fees not recorded</x:v>
      </x:c>
      <x:c r="G148" s="9" t="n">
        <x:v>58.15</x:v>
      </x:c>
      <x:c r="H148" s="3" t="str">
        <x:v>Latest preceding buy; inferred</x:v>
      </x:c>
      <x:c r="I148" s="3" t="str">
        <x:v>production</x:v>
      </x:c>
      <x:c r="J148" s="3" t="str">
        <x:v>5416743935</x:v>
      </x:c>
      <x:c r="K148" s="3" t="str">
        <x:v>5416724629</x:v>
      </x:c>
      <x:c r="L148" s="8" t="n">
        <x:v>46280.60105324074</x:v>
      </x:c>
      <x:c r="M148" s="9" t="n">
        <x:v>0.00000344</x:v>
      </x:c>
      <x:c r="N148" s="9" t="n">
        <x:v>0.00000346</x:v>
      </x:c>
      <x:c r="O148" s="9" t="n">
        <x:v>8712209</x:v>
      </x:c>
      <x:c r="P148" s="10" t="n">
        <x:v>902</x:v>
      </x:c>
      <x:c r="Q148" s="10" t="n">
        <x:v>914</x:v>
      </x:c>
      <x:c r="R148" s="4" t="b">
        <x:v>0</x:v>
      </x:c>
      <x:c r="S148" s="4" t="b">
        <x:v>0</x:v>
      </x:c>
      <x:c r="T148" s="4" t="b">
        <x:v>1</x:v>
      </x:c>
      <x:c r="U148" s="4" t="b">
        <x:v>1</x:v>
      </x:c>
      <x:c r="V148" s="4" t="b">
        <x:v>1</x:v>
      </x:c>
      <x:c r="W148" s="4" t="b">
        <x:v>1</x:v>
      </x:c>
      <x:c r="X148" s="4" t="b">
        <x:v>1</x:v>
      </x:c>
    </x:row>
    <x:row r="149" ht="21" customHeight="1">
      <x:c r="A149" s="8" t="n">
        <x:v>46280.64256944445</x:v>
      </x:c>
      <x:c r="B149" s="3" t="str">
        <x:v>SNDKBUSDT</x:v>
      </x:c>
      <x:c r="C149" s="3" t="str">
        <x:v>stop loss</x:v>
      </x:c>
      <x:c r="D149" s="9" t="n">
        <x:v>-0.09714</x:v>
      </x:c>
      <x:c r="E149" s="3"/>
      <x:c r="F149" s="3" t="str">
        <x:v>gross only; actual fees not recorded</x:v>
      </x:c>
      <x:c r="G149" s="9" t="n">
        <x:v>49.55</x:v>
      </x:c>
      <x:c r="H149" s="3" t="str">
        <x:v>Latest preceding buy; inferred</x:v>
      </x:c>
      <x:c r="I149" s="3" t="str">
        <x:v>production</x:v>
      </x:c>
      <x:c r="J149" s="3" t="str">
        <x:v>348017076</x:v>
      </x:c>
      <x:c r="K149" s="3" t="str">
        <x:v>347941912</x:v>
      </x:c>
      <x:c r="L149" s="8" t="n">
        <x:v>46280.60815972222</x:v>
      </x:c>
      <x:c r="M149" s="9" t="n">
        <x:v>1571.2326315789473</x:v>
      </x:c>
      <x:c r="N149" s="9" t="n">
        <x:v>1566.12</x:v>
      </x:c>
      <x:c r="O149" s="9" t="n">
        <x:v>0.019</x:v>
      </x:c>
      <x:c r="P149" s="10" t="n">
        <x:v>910</x:v>
      </x:c>
      <x:c r="Q149" s="10" t="n">
        <x:v>915</x:v>
      </x:c>
      <x:c r="R149" s="4" t="b">
        <x:v>0</x:v>
      </x:c>
      <x:c r="S149" s="4" t="b">
        <x:v>0</x:v>
      </x:c>
      <x:c r="T149" s="4" t="b">
        <x:v>1</x:v>
      </x:c>
      <x:c r="U149" s="4" t="b">
        <x:v>1</x:v>
      </x:c>
      <x:c r="V149" s="4" t="b">
        <x:v>1</x:v>
      </x:c>
      <x:c r="W149" s="4" t="b">
        <x:v>1</x:v>
      </x:c>
      <x:c r="X149" s="4" t="b">
        <x:v>1</x:v>
      </x:c>
    </x:row>
    <x:row r="150" ht="21" customHeight="1">
      <x:c r="A150" s="8" t="n">
        <x:v>46280.65663194445</x:v>
      </x:c>
      <x:c r="B150" s="3" t="str">
        <x:v>BNCBUSDT</x:v>
      </x:c>
      <x:c r="C150" s="3" t="str">
        <x:v>stop loss</x:v>
      </x:c>
      <x:c r="D150" s="9" t="n">
        <x:v>-0.171</x:v>
      </x:c>
      <x:c r="E150" s="3"/>
      <x:c r="F150" s="3" t="str">
        <x:v>gross only; actual fees not recorded</x:v>
      </x:c>
      <x:c r="G150" s="9" t="n">
        <x:v>60.3</x:v>
      </x:c>
      <x:c r="H150" s="3" t="str">
        <x:v>Latest preceding buy; inferred</x:v>
      </x:c>
      <x:c r="I150" s="3" t="str">
        <x:v>production</x:v>
      </x:c>
      <x:c r="J150" s="3" t="str">
        <x:v>421070</x:v>
      </x:c>
      <x:c r="K150" s="3" t="str">
        <x:v>397367</x:v>
      </x:c>
      <x:c r="L150" s="8" t="n">
        <x:v>46280.614756944444</x:v>
      </x:c>
      <x:c r="M150" s="9" t="n">
        <x:v>5.13</x:v>
      </x:c>
      <x:c r="N150" s="9" t="n">
        <x:v>5.1</x:v>
      </x:c>
      <x:c r="O150" s="9" t="n">
        <x:v>5.7</x:v>
      </x:c>
      <x:c r="P150" s="10" t="n">
        <x:v>913</x:v>
      </x:c>
      <x:c r="Q150" s="10" t="n">
        <x:v>918</x:v>
      </x:c>
      <x:c r="R150" s="4" t="b">
        <x:v>0</x:v>
      </x:c>
      <x:c r="S150" s="4" t="b">
        <x:v>0</x:v>
      </x:c>
      <x:c r="T150" s="4" t="b">
        <x:v>1</x:v>
      </x:c>
      <x:c r="U150" s="4" t="b">
        <x:v>1</x:v>
      </x:c>
      <x:c r="V150" s="4" t="b">
        <x:v>1</x:v>
      </x:c>
      <x:c r="W150" s="4" t="b">
        <x:v>1</x:v>
      </x:c>
      <x:c r="X150" s="4" t="b">
        <x:v>1</x:v>
      </x:c>
    </x:row>
    <x:row r="151" ht="21" customHeight="1">
      <x:c r="A151" s="8" t="n">
        <x:v>46280.658796296295</x:v>
      </x:c>
      <x:c r="B151" s="3" t="str">
        <x:v>SNDKBUSDT</x:v>
      </x:c>
      <x:c r="C151" s="3" t="str">
        <x:v>take profit</x:v>
      </x:c>
      <x:c r="D151" s="9" t="n">
        <x:v>0.109443</x:v>
      </x:c>
      <x:c r="E151" s="3"/>
      <x:c r="F151" s="3" t="str">
        <x:v>gross only; actual fees not recorded</x:v>
      </x:c>
      <x:c r="G151" s="9" t="n">
        <x:v>22.783333333333335</x:v>
      </x:c>
      <x:c r="H151" s="3" t="str">
        <x:v>Latest preceding buy; inferred</x:v>
      </x:c>
      <x:c r="I151" s="3" t="str">
        <x:v>production</x:v>
      </x:c>
      <x:c r="J151" s="3" t="str">
        <x:v>348066951</x:v>
      </x:c>
      <x:c r="K151" s="3" t="str">
        <x:v>348018148</x:v>
      </x:c>
      <x:c r="L151" s="8" t="n">
        <x:v>46280.64297453704</x:v>
      </x:c>
      <x:c r="M151" s="9" t="n">
        <x:v>1566.8</x:v>
      </x:c>
      <x:c r="N151" s="9" t="n">
        <x:v>1572.53</x:v>
      </x:c>
      <x:c r="O151" s="9" t="n">
        <x:v>0.0191</x:v>
      </x:c>
      <x:c r="P151" s="10" t="n">
        <x:v>916</x:v>
      </x:c>
      <x:c r="Q151" s="10" t="n">
        <x:v>919</x:v>
      </x:c>
      <x:c r="R151" s="4" t="b">
        <x:v>0</x:v>
      </x:c>
      <x:c r="S151" s="4" t="b">
        <x:v>0</x:v>
      </x:c>
      <x:c r="T151" s="4" t="b">
        <x:v>1</x:v>
      </x:c>
      <x:c r="U151" s="4" t="b">
        <x:v>1</x:v>
      </x:c>
      <x:c r="V151" s="4" t="b">
        <x:v>1</x:v>
      </x:c>
      <x:c r="W151" s="4" t="b">
        <x:v>1</x:v>
      </x:c>
      <x:c r="X151" s="4" t="b">
        <x:v>1</x:v>
      </x:c>
    </x:row>
    <x:row r="152" ht="21" customHeight="1">
      <x:c r="A152" s="8" t="n">
        <x:v>46280.65913194444</x:v>
      </x:c>
      <x:c r="B152" s="3" t="str">
        <x:v>CRCLBUSDT</x:v>
      </x:c>
      <x:c r="C152" s="3" t="str">
        <x:v>take profit</x:v>
      </x:c>
      <x:c r="D152" s="9" t="n">
        <x:v>0.112</x:v>
      </x:c>
      <x:c r="E152" s="3"/>
      <x:c r="F152" s="3" t="str">
        <x:v>gross only; actual fees not recorded</x:v>
      </x:c>
      <x:c r="G152" s="9" t="n">
        <x:v>63.93333333333333</x:v>
      </x:c>
      <x:c r="H152" s="3" t="str">
        <x:v>Latest preceding buy; inferred</x:v>
      </x:c>
      <x:c r="I152" s="3" t="str">
        <x:v>production</x:v>
      </x:c>
      <x:c r="J152" s="3" t="str">
        <x:v>89849321</x:v>
      </x:c>
      <x:c r="K152" s="3" t="str">
        <x:v>89785862</x:v>
      </x:c>
      <x:c r="L152" s="8" t="n">
        <x:v>46280.6147337963</x:v>
      </x:c>
      <x:c r="M152" s="9" t="n">
        <x:v>92.63</x:v>
      </x:c>
      <x:c r="N152" s="9" t="n">
        <x:v>92.98</x:v>
      </x:c>
      <x:c r="O152" s="9" t="n">
        <x:v>0.32</x:v>
      </x:c>
      <x:c r="P152" s="10" t="n">
        <x:v>912</x:v>
      </x:c>
      <x:c r="Q152" s="10" t="n">
        <x:v>921</x:v>
      </x:c>
      <x:c r="R152" s="4" t="b">
        <x:v>0</x:v>
      </x:c>
      <x:c r="S152" s="4" t="b">
        <x:v>0</x:v>
      </x:c>
      <x:c r="T152" s="4" t="b">
        <x:v>1</x:v>
      </x:c>
      <x:c r="U152" s="4" t="b">
        <x:v>1</x:v>
      </x:c>
      <x:c r="V152" s="4" t="b">
        <x:v>1</x:v>
      </x:c>
      <x:c r="W152" s="4" t="b">
        <x:v>1</x:v>
      </x:c>
      <x:c r="X152" s="4" t="b">
        <x:v>1</x:v>
      </x:c>
    </x:row>
    <x:row r="153" ht="21" customHeight="1">
      <x:c r="A153" s="8" t="n">
        <x:v>46280.66196759259</x:v>
      </x:c>
      <x:c r="B153" s="3" t="str">
        <x:v>CRCLBUSDT</x:v>
      </x:c>
      <x:c r="C153" s="3" t="str">
        <x:v>take profit</x:v>
      </x:c>
      <x:c r="D153" s="9" t="n">
        <x:v>0.1152</x:v>
      </x:c>
      <x:c r="E153" s="3"/>
      <x:c r="F153" s="3" t="str">
        <x:v>gross only; actual fees not recorded</x:v>
      </x:c>
      <x:c r="G153" s="9" t="n">
        <x:v>3.65</x:v>
      </x:c>
      <x:c r="H153" s="3" t="str">
        <x:v>Latest preceding buy; inferred</x:v>
      </x:c>
      <x:c r="I153" s="3" t="str">
        <x:v>production</x:v>
      </x:c>
      <x:c r="J153" s="3" t="str">
        <x:v>89856042</x:v>
      </x:c>
      <x:c r="K153" s="3" t="str">
        <x:v>89850148</x:v>
      </x:c>
      <x:c r="L153" s="8" t="n">
        <x:v>46280.65943287037</x:v>
      </x:c>
      <x:c r="M153" s="9" t="n">
        <x:v>92.94</x:v>
      </x:c>
      <x:c r="N153" s="9" t="n">
        <x:v>93.3</x:v>
      </x:c>
      <x:c r="O153" s="9" t="n">
        <x:v>0.32</x:v>
      </x:c>
      <x:c r="P153" s="10" t="n">
        <x:v>922</x:v>
      </x:c>
      <x:c r="Q153" s="10" t="n">
        <x:v>923</x:v>
      </x:c>
      <x:c r="R153" s="4" t="b">
        <x:v>0</x:v>
      </x:c>
      <x:c r="S153" s="4" t="b">
        <x:v>0</x:v>
      </x:c>
      <x:c r="T153" s="4" t="b">
        <x:v>1</x:v>
      </x:c>
      <x:c r="U153" s="4" t="b">
        <x:v>1</x:v>
      </x:c>
      <x:c r="V153" s="4" t="b">
        <x:v>1</x:v>
      </x:c>
      <x:c r="W153" s="4" t="b">
        <x:v>1</x:v>
      </x:c>
      <x:c r="X153" s="4" t="b">
        <x:v>1</x:v>
      </x:c>
    </x:row>
    <x:row r="154" ht="21" customHeight="1">
      <x:c r="A154" s="8" t="n">
        <x:v>46280.66274305555</x:v>
      </x:c>
      <x:c r="B154" s="3" t="str">
        <x:v>DOGEUSDT</x:v>
      </x:c>
      <x:c r="C154" s="3" t="str">
        <x:v>take profit</x:v>
      </x:c>
      <x:c r="D154" s="9" t="n">
        <x:v>0.11584</x:v>
      </x:c>
      <x:c r="E154" s="3"/>
      <x:c r="F154" s="3" t="str">
        <x:v>gross only; actual fees not recorded</x:v>
      </x:c>
      <x:c r="G154" s="9" t="n">
        <x:v>9.3</x:v>
      </x:c>
      <x:c r="H154" s="3" t="str">
        <x:v>Latest preceding buy; inferred</x:v>
      </x:c>
      <x:c r="I154" s="3" t="str">
        <x:v>production</x:v>
      </x:c>
      <x:c r="J154" s="3" t="str">
        <x:v>14932753439</x:v>
      </x:c>
      <x:c r="K154" s="3" t="str">
        <x:v>14932732859</x:v>
      </x:c>
      <x:c r="L154" s="8" t="n">
        <x:v>46280.65628472222</x:v>
      </x:c>
      <x:c r="M154" s="9" t="n">
        <x:v>0.08267</x:v>
      </x:c>
      <x:c r="N154" s="9" t="n">
        <x:v>0.08299</x:v>
      </x:c>
      <x:c r="O154" s="9" t="n">
        <x:v>362</x:v>
      </x:c>
      <x:c r="P154" s="10" t="n">
        <x:v>917</x:v>
      </x:c>
      <x:c r="Q154" s="10" t="n">
        <x:v>924</x:v>
      </x:c>
      <x:c r="R154" s="4" t="b">
        <x:v>0</x:v>
      </x:c>
      <x:c r="S154" s="4" t="b">
        <x:v>0</x:v>
      </x:c>
      <x:c r="T154" s="4" t="b">
        <x:v>1</x:v>
      </x:c>
      <x:c r="U154" s="4" t="b">
        <x:v>1</x:v>
      </x:c>
      <x:c r="V154" s="4" t="b">
        <x:v>1</x:v>
      </x:c>
      <x:c r="W154" s="4" t="b">
        <x:v>1</x:v>
      </x:c>
      <x:c r="X154" s="4" t="b">
        <x:v>1</x:v>
      </x:c>
    </x:row>
    <x:row r="155" ht="21" customHeight="1">
      <x:c r="A155" s="8" t="n">
        <x:v>46280.677256944444</x:v>
      </x:c>
      <x:c r="B155" s="3" t="str">
        <x:v>SNDKBUSDT</x:v>
      </x:c>
      <x:c r="C155" s="3" t="str">
        <x:v>stop loss</x:v>
      </x:c>
      <x:c r="D155" s="9" t="n">
        <x:v>-0.115453</x:v>
      </x:c>
      <x:c r="E155" s="3"/>
      <x:c r="F155" s="3" t="str">
        <x:v>gross only; actual fees not recorded</x:v>
      </x:c>
      <x:c r="G155" s="9" t="n">
        <x:v>26.166666666666668</x:v>
      </x:c>
      <x:c r="H155" s="3" t="str">
        <x:v>Latest preceding buy; inferred</x:v>
      </x:c>
      <x:c r="I155" s="3" t="str">
        <x:v>production</x:v>
      </x:c>
      <x:c r="J155" s="3" t="str">
        <x:v>348131051</x:v>
      </x:c>
      <x:c r="K155" s="3" t="str">
        <x:v>348068500</x:v>
      </x:c>
      <x:c r="L155" s="8" t="n">
        <x:v>46280.65908564815</x:v>
      </x:c>
      <x:c r="M155" s="9" t="n">
        <x:v>1574.13</x:v>
      </x:c>
      <x:c r="N155" s="9" t="n">
        <x:v>1568.0535263157894</x:v>
      </x:c>
      <x:c r="O155" s="9" t="n">
        <x:v>0.019</x:v>
      </x:c>
      <x:c r="P155" s="10" t="n">
        <x:v>920</x:v>
      </x:c>
      <x:c r="Q155" s="10" t="n">
        <x:v>927</x:v>
      </x:c>
      <x:c r="R155" s="4" t="b">
        <x:v>0</x:v>
      </x:c>
      <x:c r="S155" s="4" t="b">
        <x:v>0</x:v>
      </x:c>
      <x:c r="T155" s="4" t="b">
        <x:v>1</x:v>
      </x:c>
      <x:c r="U155" s="4" t="b">
        <x:v>1</x:v>
      </x:c>
      <x:c r="V155" s="4" t="b">
        <x:v>1</x:v>
      </x:c>
      <x:c r="W155" s="4" t="b">
        <x:v>1</x:v>
      </x:c>
      <x:c r="X155" s="4" t="b">
        <x:v>1</x:v>
      </x:c>
    </x:row>
    <x:row r="156" ht="21" customHeight="1">
      <x:c r="A156" s="8" t="n">
        <x:v>46280.68865740741</x:v>
      </x:c>
      <x:c r="B156" s="3" t="str">
        <x:v>CRCLBUSDT</x:v>
      </x:c>
      <x:c r="C156" s="3" t="str">
        <x:v>take profit</x:v>
      </x:c>
      <x:c r="D156" s="9" t="n">
        <x:v>0.2144</x:v>
      </x:c>
      <x:c r="E156" s="3"/>
      <x:c r="F156" s="3" t="str">
        <x:v>gross only; actual fees not recorded</x:v>
      </x:c>
      <x:c r="G156" s="9" t="n">
        <x:v>21.233333333333334</x:v>
      </x:c>
      <x:c r="H156" s="3" t="str">
        <x:v>Latest preceding buy; inferred</x:v>
      </x:c>
      <x:c r="I156" s="3" t="str">
        <x:v>production</x:v>
      </x:c>
      <x:c r="J156" s="3" t="str">
        <x:v>89951454</x:v>
      </x:c>
      <x:c r="K156" s="3" t="str">
        <x:v>89892449</x:v>
      </x:c>
      <x:c r="L156" s="8" t="n">
        <x:v>46280.67391203704</x:v>
      </x:c>
      <x:c r="M156" s="9" t="n">
        <x:v>92.48</x:v>
      </x:c>
      <x:c r="N156" s="9" t="n">
        <x:v>93.15</x:v>
      </x:c>
      <x:c r="O156" s="9" t="n">
        <x:v>0.32</x:v>
      </x:c>
      <x:c r="P156" s="10" t="n">
        <x:v>925</x:v>
      </x:c>
      <x:c r="Q156" s="10" t="n">
        <x:v>930</x:v>
      </x:c>
      <x:c r="R156" s="4" t="b">
        <x:v>0</x:v>
      </x:c>
      <x:c r="S156" s="4" t="b">
        <x:v>0</x:v>
      </x:c>
      <x:c r="T156" s="4" t="b">
        <x:v>1</x:v>
      </x:c>
      <x:c r="U156" s="4" t="b">
        <x:v>1</x:v>
      </x:c>
      <x:c r="V156" s="4" t="b">
        <x:v>1</x:v>
      </x:c>
      <x:c r="W156" s="4" t="b">
        <x:v>1</x:v>
      </x:c>
      <x:c r="X156" s="4" t="b">
        <x:v>1</x:v>
      </x:c>
    </x:row>
    <x:row r="157" ht="21" customHeight="1">
      <x:c r="A157" s="8" t="n">
        <x:v>46280.69116898148</x:v>
      </x:c>
      <x:c r="B157" s="3" t="str">
        <x:v>ETHUSDT</x:v>
      </x:c>
      <x:c r="C157" s="3" t="str">
        <x:v>stop loss</x:v>
      </x:c>
      <x:c r="D157" s="9" t="n">
        <x:v>-0.1194</x:v>
      </x:c>
      <x:c r="E157" s="3"/>
      <x:c r="F157" s="3" t="str">
        <x:v>gross only; actual fees not recorded</x:v>
      </x:c>
      <x:c r="G157" s="9" t="n">
        <x:v>24.816666666666666</x:v>
      </x:c>
      <x:c r="H157" s="3" t="str">
        <x:v>Latest preceding buy; inferred</x:v>
      </x:c>
      <x:c r="I157" s="3" t="str">
        <x:v>production</x:v>
      </x:c>
      <x:c r="J157" s="3" t="str">
        <x:v>49829175445</x:v>
      </x:c>
      <x:c r="K157" s="3" t="str">
        <x:v>49828655645</x:v>
      </x:c>
      <x:c r="L157" s="8" t="n">
        <x:v>46280.67393518519</x:v>
      </x:c>
      <x:c r="M157" s="9" t="n">
        <x:v>2480.28</x:v>
      </x:c>
      <x:c r="N157" s="9" t="n">
        <x:v>2470.33</x:v>
      </x:c>
      <x:c r="O157" s="9" t="n">
        <x:v>0.012</x:v>
      </x:c>
      <x:c r="P157" s="10" t="n">
        <x:v>926</x:v>
      </x:c>
      <x:c r="Q157" s="10" t="n">
        <x:v>931</x:v>
      </x:c>
      <x:c r="R157" s="4" t="b">
        <x:v>0</x:v>
      </x:c>
      <x:c r="S157" s="4" t="b">
        <x:v>0</x:v>
      </x:c>
      <x:c r="T157" s="4" t="b">
        <x:v>1</x:v>
      </x:c>
      <x:c r="U157" s="4" t="b">
        <x:v>1</x:v>
      </x:c>
      <x:c r="V157" s="4" t="b">
        <x:v>1</x:v>
      </x:c>
      <x:c r="W157" s="4" t="b">
        <x:v>1</x:v>
      </x:c>
      <x:c r="X157" s="4" t="b">
        <x:v>1</x:v>
      </x:c>
    </x:row>
    <x:row r="158" ht="21" customHeight="1">
      <x:c r="A158" s="8" t="n">
        <x:v>46280.69452546296</x:v>
      </x:c>
      <x:c r="B158" s="3" t="str">
        <x:v>SOLUSDT</x:v>
      </x:c>
      <x:c r="C158" s="3" t="str">
        <x:v>stop loss</x:v>
      </x:c>
      <x:c r="D158" s="9" t="n">
        <x:v>-0.297</x:v>
      </x:c>
      <x:c r="E158" s="3"/>
      <x:c r="F158" s="3" t="str">
        <x:v>gross only; actual fees not recorded</x:v>
      </x:c>
      <x:c r="G158" s="9" t="n">
        <x:v>14.65</x:v>
      </x:c>
      <x:c r="H158" s="3" t="str">
        <x:v>Latest preceding buy; inferred</x:v>
      </x:c>
      <x:c r="I158" s="3" t="str">
        <x:v>production</x:v>
      </x:c>
      <x:c r="J158" s="3" t="str">
        <x:v>17804111612</x:v>
      </x:c>
      <x:c r="K158" s="3" t="str">
        <x:v>17803960164</x:v>
      </x:c>
      <x:c r="L158" s="8" t="n">
        <x:v>46280.68435185185</x:v>
      </x:c>
      <x:c r="M158" s="9" t="n">
        <x:v>100.98</x:v>
      </x:c>
      <x:c r="N158" s="9" t="n">
        <x:v>99.98</x:v>
      </x:c>
      <x:c r="O158" s="9" t="n">
        <x:v>0.297</x:v>
      </x:c>
      <x:c r="P158" s="10" t="n">
        <x:v>928</x:v>
      </x:c>
      <x:c r="Q158" s="10" t="n">
        <x:v>936</x:v>
      </x:c>
      <x:c r="R158" s="4" t="b">
        <x:v>0</x:v>
      </x:c>
      <x:c r="S158" s="4" t="b">
        <x:v>0</x:v>
      </x:c>
      <x:c r="T158" s="4" t="b">
        <x:v>1</x:v>
      </x:c>
      <x:c r="U158" s="4" t="b">
        <x:v>1</x:v>
      </x:c>
      <x:c r="V158" s="4" t="b">
        <x:v>1</x:v>
      </x:c>
      <x:c r="W158" s="4" t="b">
        <x:v>1</x:v>
      </x:c>
      <x:c r="X158" s="4" t="b">
        <x:v>1</x:v>
      </x:c>
    </x:row>
    <x:row r="159" ht="21" customHeight="1">
      <x:c r="A159" s="8" t="n">
        <x:v>46280.69453703704</x:v>
      </x:c>
      <x:c r="B159" s="3" t="str">
        <x:v>DOGEUSDT</x:v>
      </x:c>
      <x:c r="C159" s="3" t="str">
        <x:v>stop loss</x:v>
      </x:c>
      <x:c r="D159" s="9" t="n">
        <x:v>-0.17014</x:v>
      </x:c>
      <x:c r="E159" s="3"/>
      <x:c r="F159" s="3" t="str">
        <x:v>gross only; actual fees not recorded</x:v>
      </x:c>
      <x:c r="G159" s="9" t="n">
        <x:v>4.766666666666667</x:v>
      </x:c>
      <x:c r="H159" s="3" t="str">
        <x:v>Latest preceding buy; inferred</x:v>
      </x:c>
      <x:c r="I159" s="3" t="str">
        <x:v>production</x:v>
      </x:c>
      <x:c r="J159" s="3" t="str">
        <x:v>14932960363</x:v>
      </x:c>
      <x:c r="K159" s="3" t="str">
        <x:v>14932895569</x:v>
      </x:c>
      <x:c r="L159" s="8" t="n">
        <x:v>46280.69122685185</x:v>
      </x:c>
      <x:c r="M159" s="9" t="n">
        <x:v>0.08279</x:v>
      </x:c>
      <x:c r="N159" s="9" t="n">
        <x:v>0.08232</x:v>
      </x:c>
      <x:c r="O159" s="9" t="n">
        <x:v>362</x:v>
      </x:c>
      <x:c r="P159" s="10" t="n">
        <x:v>932</x:v>
      </x:c>
      <x:c r="Q159" s="10" t="n">
        <x:v>937</x:v>
      </x:c>
      <x:c r="R159" s="4" t="b">
        <x:v>0</x:v>
      </x:c>
      <x:c r="S159" s="4" t="b">
        <x:v>0</x:v>
      </x:c>
      <x:c r="T159" s="4" t="b">
        <x:v>1</x:v>
      </x:c>
      <x:c r="U159" s="4" t="b">
        <x:v>1</x:v>
      </x:c>
      <x:c r="V159" s="4" t="b">
        <x:v>1</x:v>
      </x:c>
      <x:c r="W159" s="4" t="b">
        <x:v>1</x:v>
      </x:c>
      <x:c r="X159" s="4" t="b">
        <x:v>1</x:v>
      </x:c>
    </x:row>
    <x:row r="160" ht="21" customHeight="1">
      <x:c r="A160" s="8" t="n">
        <x:v>46280.69457175926</x:v>
      </x:c>
      <x:c r="B160" s="3" t="str">
        <x:v>BNCBUSDT</x:v>
      </x:c>
      <x:c r="C160" s="3" t="str">
        <x:v>stop loss</x:v>
      </x:c>
      <x:c r="D160" s="9" t="n">
        <x:v>-0.174</x:v>
      </x:c>
      <x:c r="E160" s="3"/>
      <x:c r="F160" s="3" t="str">
        <x:v>gross only; actual fees not recorded</x:v>
      </x:c>
      <x:c r="G160" s="9" t="n">
        <x:v>9.566666666666666</x:v>
      </x:c>
      <x:c r="H160" s="3" t="str">
        <x:v>Latest preceding buy; inferred</x:v>
      </x:c>
      <x:c r="I160" s="3" t="str">
        <x:v>production</x:v>
      </x:c>
      <x:c r="J160" s="3" t="str">
        <x:v>428152</x:v>
      </x:c>
      <x:c r="K160" s="3" t="str">
        <x:v>426105</x:v>
      </x:c>
      <x:c r="L160" s="8" t="n">
        <x:v>46280.68792824074</x:v>
      </x:c>
      <x:c r="M160" s="9" t="n">
        <x:v>5.13</x:v>
      </x:c>
      <x:c r="N160" s="9" t="n">
        <x:v>5.1</x:v>
      </x:c>
      <x:c r="O160" s="9" t="n">
        <x:v>5.8</x:v>
      </x:c>
      <x:c r="P160" s="10" t="n">
        <x:v>929</x:v>
      </x:c>
      <x:c r="Q160" s="10" t="n">
        <x:v>938</x:v>
      </x:c>
      <x:c r="R160" s="4" t="b">
        <x:v>0</x:v>
      </x:c>
      <x:c r="S160" s="4" t="b">
        <x:v>0</x:v>
      </x:c>
      <x:c r="T160" s="4" t="b">
        <x:v>1</x:v>
      </x:c>
      <x:c r="U160" s="4" t="b">
        <x:v>1</x:v>
      </x:c>
      <x:c r="V160" s="4" t="b">
        <x:v>1</x:v>
      </x:c>
      <x:c r="W160" s="4" t="b">
        <x:v>1</x:v>
      </x:c>
      <x:c r="X160" s="4" t="b">
        <x:v>1</x:v>
      </x:c>
    </x:row>
    <x:row r="161" ht="21" customHeight="1">
      <x:c r="A161" s="8" t="n">
        <x:v>46280.69503472222</x:v>
      </x:c>
      <x:c r="B161" s="3" t="str">
        <x:v>SUIUSDT</x:v>
      </x:c>
      <x:c r="C161" s="3" t="str">
        <x:v>take profit</x:v>
      </x:c>
      <x:c r="D161" s="9" t="n">
        <x:v>0.14792</x:v>
      </x:c>
      <x:c r="E161" s="3"/>
      <x:c r="F161" s="3" t="str">
        <x:v>gross only; actual fees not recorded</x:v>
      </x:c>
      <x:c r="G161" s="9" t="n">
        <x:v>0.7833333333333333</x:v>
      </x:c>
      <x:c r="H161" s="3" t="str">
        <x:v>Latest preceding buy; inferred</x:v>
      </x:c>
      <x:c r="I161" s="3" t="str">
        <x:v>production</x:v>
      </x:c>
      <x:c r="J161" s="3" t="str">
        <x:v>8855283318</x:v>
      </x:c>
      <x:c r="K161" s="3" t="str">
        <x:v>8855274553</x:v>
      </x:c>
      <x:c r="L161" s="8" t="n">
        <x:v>46280.69449074074</x:v>
      </x:c>
      <x:c r="M161" s="9" t="n">
        <x:v>0.705</x:v>
      </x:c>
      <x:c r="N161" s="9" t="n">
        <x:v>0.7093</x:v>
      </x:c>
      <x:c r="O161" s="9" t="n">
        <x:v>34.4</x:v>
      </x:c>
      <x:c r="P161" s="10" t="n">
        <x:v>935</x:v>
      </x:c>
      <x:c r="Q161" s="10" t="n">
        <x:v>942</x:v>
      </x:c>
      <x:c r="R161" s="4" t="b">
        <x:v>0</x:v>
      </x:c>
      <x:c r="S161" s="4" t="b">
        <x:v>0</x:v>
      </x:c>
      <x:c r="T161" s="4" t="b">
        <x:v>1</x:v>
      </x:c>
      <x:c r="U161" s="4" t="b">
        <x:v>1</x:v>
      </x:c>
      <x:c r="V161" s="4" t="b">
        <x:v>1</x:v>
      </x:c>
      <x:c r="W161" s="4" t="b">
        <x:v>1</x:v>
      </x:c>
      <x:c r="X161" s="4" t="b">
        <x:v>1</x:v>
      </x:c>
    </x:row>
    <x:row r="162" ht="21" customHeight="1">
      <x:c r="A162" s="8" t="n">
        <x:v>46280.70064814815</x:v>
      </x:c>
      <x:c r="B162" s="3" t="str">
        <x:v>WLDUSDT</x:v>
      </x:c>
      <x:c r="C162" s="3" t="str">
        <x:v>take profit</x:v>
      </x:c>
      <x:c r="D162" s="9" t="n">
        <x:v>0.18423</x:v>
      </x:c>
      <x:c r="E162" s="3"/>
      <x:c r="F162" s="3" t="str">
        <x:v>gross only; actual fees not recorded</x:v>
      </x:c>
      <x:c r="G162" s="9" t="n">
        <x:v>8.9</x:v>
      </x:c>
      <x:c r="H162" s="3" t="str">
        <x:v>Latest preceding buy; inferred</x:v>
      </x:c>
      <x:c r="I162" s="3" t="str">
        <x:v>production</x:v>
      </x:c>
      <x:c r="J162" s="3" t="str">
        <x:v>4154893471</x:v>
      </x:c>
      <x:c r="K162" s="3" t="str">
        <x:v>4154868621</x:v>
      </x:c>
      <x:c r="L162" s="8" t="n">
        <x:v>46280.69446759259</x:v>
      </x:c>
      <x:c r="M162" s="9" t="n">
        <x:v>0.3738</x:v>
      </x:c>
      <x:c r="N162" s="9" t="n">
        <x:v>0.3761</x:v>
      </x:c>
      <x:c r="O162" s="9" t="n">
        <x:v>80.1</x:v>
      </x:c>
      <x:c r="P162" s="10" t="n">
        <x:v>933</x:v>
      </x:c>
      <x:c r="Q162" s="10" t="n">
        <x:v>944</x:v>
      </x:c>
      <x:c r="R162" s="4" t="b">
        <x:v>0</x:v>
      </x:c>
      <x:c r="S162" s="4" t="b">
        <x:v>0</x:v>
      </x:c>
      <x:c r="T162" s="4" t="b">
        <x:v>1</x:v>
      </x:c>
      <x:c r="U162" s="4" t="b">
        <x:v>1</x:v>
      </x:c>
      <x:c r="V162" s="4" t="b">
        <x:v>1</x:v>
      </x:c>
      <x:c r="W162" s="4" t="b">
        <x:v>1</x:v>
      </x:c>
      <x:c r="X162" s="4" t="b">
        <x:v>1</x:v>
      </x:c>
    </x:row>
    <x:row r="163" ht="21" customHeight="1">
      <x:c r="A163" s="8" t="n">
        <x:v>46280.70648148148</x:v>
      </x:c>
      <x:c r="B163" s="3" t="str">
        <x:v>ADAUSDT</x:v>
      </x:c>
      <x:c r="C163" s="3" t="str">
        <x:v>take profit</x:v>
      </x:c>
      <x:c r="D163" s="9" t="n">
        <x:v>0.19136</x:v>
      </x:c>
      <x:c r="E163" s="3"/>
      <x:c r="F163" s="3" t="str">
        <x:v>missing</x:v>
      </x:c>
      <x:c r="G163" s="9" t="n">
        <x:v>17.283333333333335</x:v>
      </x:c>
      <x:c r="H163" s="3" t="str">
        <x:v>Latest preceding buy; inferred</x:v>
      </x:c>
      <x:c r="I163" s="3" t="str">
        <x:v>production</x:v>
      </x:c>
      <x:c r="J163" s="3" t="str">
        <x:v>8789143742</x:v>
      </x:c>
      <x:c r="K163" s="3" t="str">
        <x:v>8789109538</x:v>
      </x:c>
      <x:c r="L163" s="8" t="n">
        <x:v>46280.69447916667</x:v>
      </x:c>
      <x:c r="M163" s="9" t="n">
        <x:v>0.2036</x:v>
      </x:c>
      <x:c r="N163" s="9" t="n">
        <x:v>0.2049</x:v>
      </x:c>
      <x:c r="O163" s="9" t="n">
        <x:v>147.2</x:v>
      </x:c>
      <x:c r="P163" s="10" t="n">
        <x:v>934</x:v>
      </x:c>
      <x:c r="Q163" s="10" t="n">
        <x:v>945</x:v>
      </x:c>
      <x:c r="R163" s="4" t="b">
        <x:v>0</x:v>
      </x:c>
      <x:c r="S163" s="4" t="b">
        <x:v>0</x:v>
      </x:c>
      <x:c r="T163" s="4" t="b">
        <x:v>1</x:v>
      </x:c>
      <x:c r="U163" s="4" t="b">
        <x:v>1</x:v>
      </x:c>
      <x:c r="V163" s="4" t="b">
        <x:v>1</x:v>
      </x:c>
      <x:c r="W163" s="4" t="b">
        <x:v>1</x:v>
      </x:c>
      <x:c r="X163" s="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c175012796946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1" t="str">
        <x:v>Daily summary</x:v>
      </x:c>
    </x:row>
    <x:row r="3">
      <x:c r="A3" t="str">
        <x:v>Source: Transactions. Gross excludes fees. Known net totals cover only rows with recorded net P&amp;L.</x:v>
      </x:c>
    </x:row>
    <x:row r="5" ht="44" customHeight="1">
      <x:c r="A5" s="7" t="str">
        <x:v>Date</x:v>
      </x:c>
      <x:c r="B5" s="7" t="str">
        <x:v>buys</x:v>
      </x:c>
      <x:c r="C5" s="7" t="str">
        <x:v>sells</x:v>
      </x:c>
      <x:c r="D5" s="7" t="str">
        <x:v>gross_pnl</x:v>
      </x:c>
      <x:c r="E5" s="7" t="str">
        <x:v>known_net_pnl</x:v>
      </x:c>
      <x:c r="F5" s="7" t="str">
        <x:v>net_records</x:v>
      </x:c>
      <x:c r="G5" s="7" t="str">
        <x:v>gross_wins</x:v>
      </x:c>
      <x:c r="H5" s="7" t="str">
        <x:v>gross_losses</x:v>
      </x:c>
      <x:c r="I5" s="7" t="str">
        <x:v>gross_win_rate</x:v>
      </x:c>
    </x:row>
    <x:row r="6" ht="21" customHeight="1">
      <x:c r="A6" s="3" t="str">
        <x:v>2026-09-11</x:v>
      </x:c>
      <x:c r="B6" s="10" t="n">
        <x:f>COUNTIFS('Transactions'!$Z$6:$Z$327,A6,'Transactions'!$C$6:$C$327,"BUY")</x:f>
        <x:v>6</x:v>
      </x:c>
      <x:c r="C6" s="10" t="n">
        <x:f>COUNTIFS('Transactions'!$Z$6:$Z$327,A6,'Transactions'!$C$6:$C$327,"SELL")</x:f>
        <x:v>6</x:v>
      </x:c>
      <x:c r="D6" s="9" t="n">
        <x:f>SUMIFS('Transactions'!$H$6:$H$327,'Transactions'!$Z$6:$Z$327,A6,'Transactions'!$C$6:$C$327,"SELL")</x:f>
        <x:v>-0.769334</x:v>
      </x:c>
      <x:c r="E6" s="3" t="str">
        <x:f>IF(F6=0,"",SUMIFS('Transactions'!$I$6:$I$327,'Transactions'!$Z$6:$Z$327,A6,'Transactions'!$C$6:$C$327,"SELL"))</x:f>
      </x:c>
      <x:c r="F6" s="10" t="n">
        <x:f>SUMIFS('Transactions'!$X$6:$X$327,'Transactions'!$Z$6:$Z$327,A6,'Transactions'!$C$6:$C$327,"SELL")</x:f>
        <x:v>0</x:v>
      </x:c>
      <x:c r="G6" s="10" t="n">
        <x:f>COUNTIFS('Transactions'!$Z$6:$Z$327,A6,'Transactions'!$C$6:$C$327,"SELL",'Transactions'!$H$6:$H$327,"&gt;0")</x:f>
        <x:v>1</x:v>
      </x:c>
      <x:c r="H6" s="10" t="n">
        <x:f>COUNTIFS('Transactions'!$Z$6:$Z$327,A6,'Transactions'!$C$6:$C$327,"SELL",'Transactions'!$H$6:$H$327,"&lt;0")</x:f>
        <x:v>5</x:v>
      </x:c>
      <x:c r="I6" s="11" t="n">
        <x:f>IF(G6+H6=0,"",G6/(G6+H6))</x:f>
        <x:v>0.16666666666666666</x:v>
      </x:c>
    </x:row>
    <x:row r="7" ht="21" customHeight="1">
      <x:c r="A7" s="3" t="str">
        <x:v>2026-09-12</x:v>
      </x:c>
      <x:c r="B7" s="10" t="n">
        <x:f>COUNTIFS('Transactions'!$Z$6:$Z$327,A7,'Transactions'!$C$6:$C$327,"BUY")</x:f>
        <x:v>9</x:v>
      </x:c>
      <x:c r="C7" s="10" t="n">
        <x:f>COUNTIFS('Transactions'!$Z$6:$Z$327,A7,'Transactions'!$C$6:$C$327,"SELL")</x:f>
        <x:v>4</x:v>
      </x:c>
      <x:c r="D7" s="9" t="n">
        <x:f>SUMIFS('Transactions'!$H$6:$H$327,'Transactions'!$Z$6:$Z$327,A7,'Transactions'!$C$6:$C$327,"SELL")</x:f>
        <x:v>-0.16577999999999998</x:v>
      </x:c>
      <x:c r="E7" s="3" t="str">
        <x:f>IF(F7=0,"",SUMIFS('Transactions'!$I$6:$I$327,'Transactions'!$Z$6:$Z$327,A7,'Transactions'!$C$6:$C$327,"SELL"))</x:f>
      </x:c>
      <x:c r="F7" s="10" t="n">
        <x:f>SUMIFS('Transactions'!$X$6:$X$327,'Transactions'!$Z$6:$Z$327,A7,'Transactions'!$C$6:$C$327,"SELL")</x:f>
        <x:v>0</x:v>
      </x:c>
      <x:c r="G7" s="10" t="n">
        <x:f>COUNTIFS('Transactions'!$Z$6:$Z$327,A7,'Transactions'!$C$6:$C$327,"SELL",'Transactions'!$H$6:$H$327,"&gt;0")</x:f>
        <x:v>1</x:v>
      </x:c>
      <x:c r="H7" s="10" t="n">
        <x:f>COUNTIFS('Transactions'!$Z$6:$Z$327,A7,'Transactions'!$C$6:$C$327,"SELL",'Transactions'!$H$6:$H$327,"&lt;0")</x:f>
        <x:v>3</x:v>
      </x:c>
      <x:c r="I7" s="11" t="n">
        <x:f>IF(G7+H7=0,"",G7/(G7+H7))</x:f>
        <x:v>0.25</x:v>
      </x:c>
    </x:row>
    <x:row r="8" ht="21" customHeight="1">
      <x:c r="A8" s="3" t="str">
        <x:v>2026-09-13</x:v>
      </x:c>
      <x:c r="B8" s="10" t="n">
        <x:f>COUNTIFS('Transactions'!$Z$6:$Z$327,A8,'Transactions'!$C$6:$C$327,"BUY")</x:f>
        <x:v>56</x:v>
      </x:c>
      <x:c r="C8" s="10" t="n">
        <x:f>COUNTIFS('Transactions'!$Z$6:$Z$327,A8,'Transactions'!$C$6:$C$327,"SELL")</x:f>
        <x:v>54</x:v>
      </x:c>
      <x:c r="D8" s="9" t="n">
        <x:f>SUMIFS('Transactions'!$H$6:$H$327,'Transactions'!$Z$6:$Z$327,A8,'Transactions'!$C$6:$C$327,"SELL")</x:f>
        <x:v>-1.2553924200000002</x:v>
      </x:c>
      <x:c r="E8" s="3" t="str">
        <x:f>IF(F8=0,"",SUMIFS('Transactions'!$I$6:$I$327,'Transactions'!$Z$6:$Z$327,A8,'Transactions'!$C$6:$C$327,"SELL"))</x:f>
      </x:c>
      <x:c r="F8" s="10" t="n">
        <x:f>SUMIFS('Transactions'!$X$6:$X$327,'Transactions'!$Z$6:$Z$327,A8,'Transactions'!$C$6:$C$327,"SELL")</x:f>
        <x:v>0</x:v>
      </x:c>
      <x:c r="G8" s="10" t="n">
        <x:f>COUNTIFS('Transactions'!$Z$6:$Z$327,A8,'Transactions'!$C$6:$C$327,"SELL",'Transactions'!$H$6:$H$327,"&gt;0")</x:f>
        <x:v>26</x:v>
      </x:c>
      <x:c r="H8" s="10" t="n">
        <x:f>COUNTIFS('Transactions'!$Z$6:$Z$327,A8,'Transactions'!$C$6:$C$327,"SELL",'Transactions'!$H$6:$H$327,"&lt;0")</x:f>
        <x:v>27</x:v>
      </x:c>
      <x:c r="I8" s="11" t="n">
        <x:f>IF(G8+H8=0,"",G8/(G8+H8))</x:f>
        <x:v>0.49056603773584906</x:v>
      </x:c>
    </x:row>
    <x:row r="9" ht="21" customHeight="1">
      <x:c r="A9" s="3" t="str">
        <x:v>2026-09-14</x:v>
      </x:c>
      <x:c r="B9" s="10" t="n">
        <x:f>COUNTIFS('Transactions'!$Z$6:$Z$327,A9,'Transactions'!$C$6:$C$327,"BUY")</x:f>
        <x:v>38</x:v>
      </x:c>
      <x:c r="C9" s="10" t="n">
        <x:f>COUNTIFS('Transactions'!$Z$6:$Z$327,A9,'Transactions'!$C$6:$C$327,"SELL")</x:f>
        <x:v>41</x:v>
      </x:c>
      <x:c r="D9" s="9" t="n">
        <x:f>SUMIFS('Transactions'!$H$6:$H$327,'Transactions'!$Z$6:$Z$327,A9,'Transactions'!$C$6:$C$327,"SELL")</x:f>
        <x:v>0.932755717277487</x:v>
      </x:c>
      <x:c r="E9" s="3" t="str">
        <x:f>IF(F9=0,"",SUMIFS('Transactions'!$I$6:$I$327,'Transactions'!$Z$6:$Z$327,A9,'Transactions'!$C$6:$C$327,"SELL"))</x:f>
      </x:c>
      <x:c r="F9" s="10" t="n">
        <x:f>SUMIFS('Transactions'!$X$6:$X$327,'Transactions'!$Z$6:$Z$327,A9,'Transactions'!$C$6:$C$327,"SELL")</x:f>
        <x:v>0</x:v>
      </x:c>
      <x:c r="G9" s="10" t="n">
        <x:f>COUNTIFS('Transactions'!$Z$6:$Z$327,A9,'Transactions'!$C$6:$C$327,"SELL",'Transactions'!$H$6:$H$327,"&gt;0")</x:f>
        <x:v>25</x:v>
      </x:c>
      <x:c r="H9" s="10" t="n">
        <x:f>COUNTIFS('Transactions'!$Z$6:$Z$327,A9,'Transactions'!$C$6:$C$327,"SELL",'Transactions'!$H$6:$H$327,"&lt;0")</x:f>
        <x:v>16</x:v>
      </x:c>
      <x:c r="I9" s="11" t="n">
        <x:f>IF(G9+H9=0,"",G9/(G9+H9))</x:f>
        <x:v>0.6097560975609756</x:v>
      </x:c>
    </x:row>
    <x:row r="10" ht="21" customHeight="1">
      <x:c r="A10" s="3" t="str">
        <x:v>2026-09-15</x:v>
      </x:c>
      <x:c r="B10" s="10" t="n">
        <x:f>COUNTIFS('Transactions'!$Z$6:$Z$327,A10,'Transactions'!$C$6:$C$327,"BUY")</x:f>
        <x:v>55</x:v>
      </x:c>
      <x:c r="C10" s="10" t="n">
        <x:f>COUNTIFS('Transactions'!$Z$6:$Z$327,A10,'Transactions'!$C$6:$C$327,"SELL")</x:f>
        <x:v>53</x:v>
      </x:c>
      <x:c r="D10" s="9" t="n">
        <x:f>SUMIFS('Transactions'!$H$6:$H$327,'Transactions'!$Z$6:$Z$327,A10,'Transactions'!$C$6:$C$327,"SELL")</x:f>
        <x:v>-4.241534620409293</x:v>
      </x:c>
      <x:c r="E10" s="3" t="str">
        <x:f>IF(F10=0,"",SUMIFS('Transactions'!$I$6:$I$327,'Transactions'!$Z$6:$Z$327,A10,'Transactions'!$C$6:$C$327,"SELL"))</x:f>
      </x:c>
      <x:c r="F10" s="10" t="n">
        <x:f>SUMIFS('Transactions'!$X$6:$X$327,'Transactions'!$Z$6:$Z$327,A10,'Transactions'!$C$6:$C$327,"SELL")</x:f>
        <x:v>0</x:v>
      </x:c>
      <x:c r="G10" s="10" t="n">
        <x:f>COUNTIFS('Transactions'!$Z$6:$Z$327,A10,'Transactions'!$C$6:$C$327,"SELL",'Transactions'!$H$6:$H$327,"&gt;0")</x:f>
        <x:v>16</x:v>
      </x:c>
      <x:c r="H10" s="10" t="n">
        <x:f>COUNTIFS('Transactions'!$Z$6:$Z$327,A10,'Transactions'!$C$6:$C$327,"SELL",'Transactions'!$H$6:$H$327,"&lt;0")</x:f>
        <x:v>37</x:v>
      </x:c>
      <x:c r="I10" s="11" t="n">
        <x:f>IF(G10+H10=0,"",G10/(G10+H10))</x:f>
        <x:v>0.3018867924528302</x:v>
      </x:c>
    </x:row>
  </x:sheetData>
  <x:pageMargins left="0.7" right="0.7" top="0.75" bottom="0.75" header="0.3" footer="0.3"/>
  <x:tableParts count="1">
    <x:tablePart xmlns:r="http://schemas.openxmlformats.org/officeDocument/2006/relationships" r:id="R5ec36ffbe53f47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1" t="str">
        <x:v>Coin summary</x:v>
      </x:c>
    </x:row>
    <x:row r="3">
      <x:c r="A3" t="str">
        <x:v>Source: Transactions. Gross excludes fees. Known net totals cover only rows with recorded net P&amp;L.</x:v>
      </x:c>
    </x:row>
    <x:row r="5" ht="44" customHeight="1">
      <x:c r="A5" s="7" t="str">
        <x:v>Symbol</x:v>
      </x:c>
      <x:c r="B5" s="7" t="str">
        <x:v>buys</x:v>
      </x:c>
      <x:c r="C5" s="7" t="str">
        <x:v>sells</x:v>
      </x:c>
      <x:c r="D5" s="7" t="str">
        <x:v>gross_pnl</x:v>
      </x:c>
      <x:c r="E5" s="7" t="str">
        <x:v>known_net_pnl</x:v>
      </x:c>
      <x:c r="F5" s="7" t="str">
        <x:v>net_records</x:v>
      </x:c>
      <x:c r="G5" s="7" t="str">
        <x:v>gross_wins</x:v>
      </x:c>
      <x:c r="H5" s="7" t="str">
        <x:v>gross_losses</x:v>
      </x:c>
      <x:c r="I5" s="7" t="str">
        <x:v>gross_win_rate</x:v>
      </x:c>
    </x:row>
    <x:row r="6" ht="21" customHeight="1">
      <x:c r="A6" s="3" t="str">
        <x:v>AAVEUSDT</x:v>
      </x:c>
      <x:c r="B6" s="10" t="n">
        <x:f>COUNTIFS('Transactions'!$B$6:$B$327,A6,'Transactions'!$C$6:$C$327,"BUY")</x:f>
        <x:v>6</x:v>
      </x:c>
      <x:c r="C6" s="10" t="n">
        <x:f>COUNTIFS('Transactions'!$B$6:$B$327,A6,'Transactions'!$C$6:$C$327,"SELL")</x:f>
        <x:v>5</x:v>
      </x:c>
      <x:c r="D6" s="9" t="n">
        <x:f>SUMIFS('Transactions'!$H$6:$H$327,'Transactions'!$B$6:$B$327,A6,'Transactions'!$C$6:$C$327,"SELL")</x:f>
        <x:v>0.49110999999999994</x:v>
      </x:c>
      <x:c r="E6" s="3" t="str">
        <x:f>IF(F6=0,"",SUMIFS('Transactions'!$I$6:$I$327,'Transactions'!$B$6:$B$327,A6,'Transactions'!$C$6:$C$327,"SELL"))</x:f>
      </x:c>
      <x:c r="F6" s="10" t="n">
        <x:f>SUMIFS('Transactions'!$X$6:$X$327,'Transactions'!$B$6:$B$327,A6,'Transactions'!$C$6:$C$327,"SELL")</x:f>
        <x:v>0</x:v>
      </x:c>
      <x:c r="G6" s="10" t="n">
        <x:f>COUNTIFS('Transactions'!$B$6:$B$327,A6,'Transactions'!$C$6:$C$327,"SELL",'Transactions'!$H$6:$H$327,"&gt;0")</x:f>
        <x:v>2</x:v>
      </x:c>
      <x:c r="H6" s="10" t="n">
        <x:f>COUNTIFS('Transactions'!$B$6:$B$327,A6,'Transactions'!$C$6:$C$327,"SELL",'Transactions'!$H$6:$H$327,"&lt;0")</x:f>
        <x:v>3</x:v>
      </x:c>
      <x:c r="I6" s="11" t="n">
        <x:f>IF(G6+H6=0,"",G6/(G6+H6))</x:f>
        <x:v>0.4</x:v>
      </x:c>
    </x:row>
    <x:row r="7" ht="21" customHeight="1">
      <x:c r="A7" s="3" t="str">
        <x:v>ADAUSDT</x:v>
      </x:c>
      <x:c r="B7" s="10" t="n">
        <x:f>COUNTIFS('Transactions'!$B$6:$B$327,A7,'Transactions'!$C$6:$C$327,"BUY")</x:f>
        <x:v>15</x:v>
      </x:c>
      <x:c r="C7" s="10" t="n">
        <x:f>COUNTIFS('Transactions'!$B$6:$B$327,A7,'Transactions'!$C$6:$C$327,"SELL")</x:f>
        <x:v>15</x:v>
      </x:c>
      <x:c r="D7" s="9" t="n">
        <x:f>SUMIFS('Transactions'!$H$6:$H$327,'Transactions'!$B$6:$B$327,A7,'Transactions'!$C$6:$C$327,"SELL")</x:f>
        <x:v>0.15288000000000002</x:v>
      </x:c>
      <x:c r="E7" s="3" t="str">
        <x:f>IF(F7=0,"",SUMIFS('Transactions'!$I$6:$I$327,'Transactions'!$B$6:$B$327,A7,'Transactions'!$C$6:$C$327,"SELL"))</x:f>
      </x:c>
      <x:c r="F7" s="10" t="n">
        <x:f>SUMIFS('Transactions'!$X$6:$X$327,'Transactions'!$B$6:$B$327,A7,'Transactions'!$C$6:$C$327,"SELL")</x:f>
        <x:v>0</x:v>
      </x:c>
      <x:c r="G7" s="10" t="n">
        <x:f>COUNTIFS('Transactions'!$B$6:$B$327,A7,'Transactions'!$C$6:$C$327,"SELL",'Transactions'!$H$6:$H$327,"&gt;0")</x:f>
        <x:v>7</x:v>
      </x:c>
      <x:c r="H7" s="10" t="n">
        <x:f>COUNTIFS('Transactions'!$B$6:$B$327,A7,'Transactions'!$C$6:$C$327,"SELL",'Transactions'!$H$6:$H$327,"&lt;0")</x:f>
        <x:v>8</x:v>
      </x:c>
      <x:c r="I7" s="11" t="n">
        <x:f>IF(G7+H7=0,"",G7/(G7+H7))</x:f>
        <x:v>0.4666666666666667</x:v>
      </x:c>
    </x:row>
    <x:row r="8" ht="21" customHeight="1">
      <x:c r="A8" s="3" t="str">
        <x:v>ARBUSDT</x:v>
      </x:c>
      <x:c r="B8" s="10" t="n">
        <x:f>COUNTIFS('Transactions'!$B$6:$B$327,A8,'Transactions'!$C$6:$C$327,"BUY")</x:f>
        <x:v>2</x:v>
      </x:c>
      <x:c r="C8" s="10" t="n">
        <x:f>COUNTIFS('Transactions'!$B$6:$B$327,A8,'Transactions'!$C$6:$C$327,"SELL")</x:f>
        <x:v>2</x:v>
      </x:c>
      <x:c r="D8" s="9" t="n">
        <x:f>SUMIFS('Transactions'!$H$6:$H$327,'Transactions'!$B$6:$B$327,A8,'Transactions'!$C$6:$C$327,"SELL")</x:f>
        <x:v>-0.41625</x:v>
      </x:c>
      <x:c r="E8" s="3" t="str">
        <x:f>IF(F8=0,"",SUMIFS('Transactions'!$I$6:$I$327,'Transactions'!$B$6:$B$327,A8,'Transactions'!$C$6:$C$327,"SELL"))</x:f>
      </x:c>
      <x:c r="F8" s="10" t="n">
        <x:f>SUMIFS('Transactions'!$X$6:$X$327,'Transactions'!$B$6:$B$327,A8,'Transactions'!$C$6:$C$327,"SELL")</x:f>
        <x:v>0</x:v>
      </x:c>
      <x:c r="G8" s="10" t="n">
        <x:f>COUNTIFS('Transactions'!$B$6:$B$327,A8,'Transactions'!$C$6:$C$327,"SELL",'Transactions'!$H$6:$H$327,"&gt;0")</x:f>
        <x:v>0</x:v>
      </x:c>
      <x:c r="H8" s="10" t="n">
        <x:f>COUNTIFS('Transactions'!$B$6:$B$327,A8,'Transactions'!$C$6:$C$327,"SELL",'Transactions'!$H$6:$H$327,"&lt;0")</x:f>
        <x:v>2</x:v>
      </x:c>
      <x:c r="I8" s="11" t="n">
        <x:f>IF(G8+H8=0,"",G8/(G8+H8))</x:f>
        <x:v>0</x:v>
      </x:c>
    </x:row>
    <x:row r="9" ht="21" customHeight="1">
      <x:c r="A9" s="3" t="str">
        <x:v>AVAXUSDT</x:v>
      </x:c>
      <x:c r="B9" s="10" t="n">
        <x:f>COUNTIFS('Transactions'!$B$6:$B$327,A9,'Transactions'!$C$6:$C$327,"BUY")</x:f>
        <x:v>4</x:v>
      </x:c>
      <x:c r="C9" s="10" t="n">
        <x:f>COUNTIFS('Transactions'!$B$6:$B$327,A9,'Transactions'!$C$6:$C$327,"SELL")</x:f>
        <x:v>3</x:v>
      </x:c>
      <x:c r="D9" s="9" t="n">
        <x:f>SUMIFS('Transactions'!$H$6:$H$327,'Transactions'!$B$6:$B$327,A9,'Transactions'!$C$6:$C$327,"SELL")</x:f>
        <x:v>-0.46931</x:v>
      </x:c>
      <x:c r="E9" s="3" t="str">
        <x:f>IF(F9=0,"",SUMIFS('Transactions'!$I$6:$I$327,'Transactions'!$B$6:$B$327,A9,'Transactions'!$C$6:$C$327,"SELL"))</x:f>
      </x:c>
      <x:c r="F9" s="10" t="n">
        <x:f>SUMIFS('Transactions'!$X$6:$X$327,'Transactions'!$B$6:$B$327,A9,'Transactions'!$C$6:$C$327,"SELL")</x:f>
        <x:v>0</x:v>
      </x:c>
      <x:c r="G9" s="10" t="n">
        <x:f>COUNTIFS('Transactions'!$B$6:$B$327,A9,'Transactions'!$C$6:$C$327,"SELL",'Transactions'!$H$6:$H$327,"&gt;0")</x:f>
        <x:v>1</x:v>
      </x:c>
      <x:c r="H9" s="10" t="n">
        <x:f>COUNTIFS('Transactions'!$B$6:$B$327,A9,'Transactions'!$C$6:$C$327,"SELL",'Transactions'!$H$6:$H$327,"&lt;0")</x:f>
        <x:v>2</x:v>
      </x:c>
      <x:c r="I9" s="11" t="n">
        <x:f>IF(G9+H9=0,"",G9/(G9+H9))</x:f>
        <x:v>0.3333333333333333</x:v>
      </x:c>
    </x:row>
    <x:row r="10" ht="21" customHeight="1">
      <x:c r="A10" s="3" t="str">
        <x:v>BCHUSDT</x:v>
      </x:c>
      <x:c r="B10" s="10" t="n">
        <x:f>COUNTIFS('Transactions'!$B$6:$B$327,A10,'Transactions'!$C$6:$C$327,"BUY")</x:f>
        <x:v>4</x:v>
      </x:c>
      <x:c r="C10" s="10" t="n">
        <x:f>COUNTIFS('Transactions'!$B$6:$B$327,A10,'Transactions'!$C$6:$C$327,"SELL")</x:f>
        <x:v>4</x:v>
      </x:c>
      <x:c r="D10" s="9" t="n">
        <x:f>SUMIFS('Transactions'!$H$6:$H$327,'Transactions'!$B$6:$B$327,A10,'Transactions'!$C$6:$C$327,"SELL")</x:f>
        <x:v>-0.22039999999999998</x:v>
      </x:c>
      <x:c r="E10" s="3" t="str">
        <x:f>IF(F10=0,"",SUMIFS('Transactions'!$I$6:$I$327,'Transactions'!$B$6:$B$327,A10,'Transactions'!$C$6:$C$327,"SELL"))</x:f>
      </x:c>
      <x:c r="F10" s="10" t="n">
        <x:f>SUMIFS('Transactions'!$X$6:$X$327,'Transactions'!$B$6:$B$327,A10,'Transactions'!$C$6:$C$327,"SELL")</x:f>
        <x:v>0</x:v>
      </x:c>
      <x:c r="G10" s="10" t="n">
        <x:f>COUNTIFS('Transactions'!$B$6:$B$327,A10,'Transactions'!$C$6:$C$327,"SELL",'Transactions'!$H$6:$H$327,"&gt;0")</x:f>
        <x:v>2</x:v>
      </x:c>
      <x:c r="H10" s="10" t="n">
        <x:f>COUNTIFS('Transactions'!$B$6:$B$327,A10,'Transactions'!$C$6:$C$327,"SELL",'Transactions'!$H$6:$H$327,"&lt;0")</x:f>
        <x:v>2</x:v>
      </x:c>
      <x:c r="I10" s="11" t="n">
        <x:f>IF(G10+H10=0,"",G10/(G10+H10))</x:f>
        <x:v>0.5</x:v>
      </x:c>
    </x:row>
    <x:row r="11" ht="21" customHeight="1">
      <x:c r="A11" s="3" t="str">
        <x:v>BNBUSDT</x:v>
      </x:c>
      <x:c r="B11" s="10" t="n">
        <x:f>COUNTIFS('Transactions'!$B$6:$B$327,A11,'Transactions'!$C$6:$C$327,"BUY")</x:f>
        <x:v>2</x:v>
      </x:c>
      <x:c r="C11" s="10" t="n">
        <x:f>COUNTIFS('Transactions'!$B$6:$B$327,A11,'Transactions'!$C$6:$C$327,"SELL")</x:f>
        <x:v>2</x:v>
      </x:c>
      <x:c r="D11" s="9" t="n">
        <x:f>SUMIFS('Transactions'!$H$6:$H$327,'Transactions'!$B$6:$B$327,A11,'Transactions'!$C$6:$C$327,"SELL")</x:f>
        <x:v>-0.10851</x:v>
      </x:c>
      <x:c r="E11" s="3" t="str">
        <x:f>IF(F11=0,"",SUMIFS('Transactions'!$I$6:$I$327,'Transactions'!$B$6:$B$327,A11,'Transactions'!$C$6:$C$327,"SELL"))</x:f>
      </x:c>
      <x:c r="F11" s="10" t="n">
        <x:f>SUMIFS('Transactions'!$X$6:$X$327,'Transactions'!$B$6:$B$327,A11,'Transactions'!$C$6:$C$327,"SELL")</x:f>
        <x:v>0</x:v>
      </x:c>
      <x:c r="G11" s="10" t="n">
        <x:f>COUNTIFS('Transactions'!$B$6:$B$327,A11,'Transactions'!$C$6:$C$327,"SELL",'Transactions'!$H$6:$H$327,"&gt;0")</x:f>
        <x:v>0</x:v>
      </x:c>
      <x:c r="H11" s="10" t="n">
        <x:f>COUNTIFS('Transactions'!$B$6:$B$327,A11,'Transactions'!$C$6:$C$327,"SELL",'Transactions'!$H$6:$H$327,"&lt;0")</x:f>
        <x:v>2</x:v>
      </x:c>
      <x:c r="I11" s="11" t="n">
        <x:f>IF(G11+H11=0,"",G11/(G11+H11))</x:f>
        <x:v>0</x:v>
      </x:c>
    </x:row>
    <x:row r="12" ht="21" customHeight="1">
      <x:c r="A12" s="3" t="str">
        <x:v>BNCBUSDT</x:v>
      </x:c>
      <x:c r="B12" s="10" t="n">
        <x:f>COUNTIFS('Transactions'!$B$6:$B$327,A12,'Transactions'!$C$6:$C$327,"BUY")</x:f>
        <x:v>2</x:v>
      </x:c>
      <x:c r="C12" s="10" t="n">
        <x:f>COUNTIFS('Transactions'!$B$6:$B$327,A12,'Transactions'!$C$6:$C$327,"SELL")</x:f>
        <x:v>2</x:v>
      </x:c>
      <x:c r="D12" s="9" t="n">
        <x:f>SUMIFS('Transactions'!$H$6:$H$327,'Transactions'!$B$6:$B$327,A12,'Transactions'!$C$6:$C$327,"SELL")</x:f>
        <x:v>-0.345</x:v>
      </x:c>
      <x:c r="E12" s="3" t="str">
        <x:f>IF(F12=0,"",SUMIFS('Transactions'!$I$6:$I$327,'Transactions'!$B$6:$B$327,A12,'Transactions'!$C$6:$C$327,"SELL"))</x:f>
      </x:c>
      <x:c r="F12" s="10" t="n">
        <x:f>SUMIFS('Transactions'!$X$6:$X$327,'Transactions'!$B$6:$B$327,A12,'Transactions'!$C$6:$C$327,"SELL")</x:f>
        <x:v>0</x:v>
      </x:c>
      <x:c r="G12" s="10" t="n">
        <x:f>COUNTIFS('Transactions'!$B$6:$B$327,A12,'Transactions'!$C$6:$C$327,"SELL",'Transactions'!$H$6:$H$327,"&gt;0")</x:f>
        <x:v>0</x:v>
      </x:c>
      <x:c r="H12" s="10" t="n">
        <x:f>COUNTIFS('Transactions'!$B$6:$B$327,A12,'Transactions'!$C$6:$C$327,"SELL",'Transactions'!$H$6:$H$327,"&lt;0")</x:f>
        <x:v>2</x:v>
      </x:c>
      <x:c r="I12" s="11" t="n">
        <x:f>IF(G12+H12=0,"",G12/(G12+H12))</x:f>
        <x:v>0</x:v>
      </x:c>
    </x:row>
    <x:row r="13" ht="21" customHeight="1">
      <x:c r="A13" s="3" t="str">
        <x:v>CRCLBUSDT</x:v>
      </x:c>
      <x:c r="B13" s="10" t="n">
        <x:f>COUNTIFS('Transactions'!$B$6:$B$327,A13,'Transactions'!$C$6:$C$327,"BUY")</x:f>
        <x:v>5</x:v>
      </x:c>
      <x:c r="C13" s="10" t="n">
        <x:f>COUNTIFS('Transactions'!$B$6:$B$327,A13,'Transactions'!$C$6:$C$327,"SELL")</x:f>
        <x:v>5</x:v>
      </x:c>
      <x:c r="D13" s="9" t="n">
        <x:f>SUMIFS('Transactions'!$H$6:$H$327,'Transactions'!$B$6:$B$327,A13,'Transactions'!$C$6:$C$327,"SELL")</x:f>
        <x:v>0.43069999999999997</x:v>
      </x:c>
      <x:c r="E13" s="3" t="str">
        <x:f>IF(F13=0,"",SUMIFS('Transactions'!$I$6:$I$327,'Transactions'!$B$6:$B$327,A13,'Transactions'!$C$6:$C$327,"SELL"))</x:f>
      </x:c>
      <x:c r="F13" s="10" t="n">
        <x:f>SUMIFS('Transactions'!$X$6:$X$327,'Transactions'!$B$6:$B$327,A13,'Transactions'!$C$6:$C$327,"SELL")</x:f>
        <x:v>0</x:v>
      </x:c>
      <x:c r="G13" s="10" t="n">
        <x:f>COUNTIFS('Transactions'!$B$6:$B$327,A13,'Transactions'!$C$6:$C$327,"SELL",'Transactions'!$H$6:$H$327,"&gt;0")</x:f>
        <x:v>4</x:v>
      </x:c>
      <x:c r="H13" s="10" t="n">
        <x:f>COUNTIFS('Transactions'!$B$6:$B$327,A13,'Transactions'!$C$6:$C$327,"SELL",'Transactions'!$H$6:$H$327,"&lt;0")</x:f>
        <x:v>1</x:v>
      </x:c>
      <x:c r="I13" s="11" t="n">
        <x:f>IF(G13+H13=0,"",G13/(G13+H13))</x:f>
        <x:v>0.8</x:v>
      </x:c>
    </x:row>
    <x:row r="14" ht="21" customHeight="1">
      <x:c r="A14" s="3" t="str">
        <x:v>DOGEUSDT</x:v>
      </x:c>
      <x:c r="B14" s="10" t="n">
        <x:f>COUNTIFS('Transactions'!$B$6:$B$327,A14,'Transactions'!$C$6:$C$327,"BUY")</x:f>
        <x:v>7</x:v>
      </x:c>
      <x:c r="C14" s="10" t="n">
        <x:f>COUNTIFS('Transactions'!$B$6:$B$327,A14,'Transactions'!$C$6:$C$327,"SELL")</x:f>
        <x:v>7</x:v>
      </x:c>
      <x:c r="D14" s="9" t="n">
        <x:f>SUMIFS('Transactions'!$H$6:$H$327,'Transactions'!$B$6:$B$327,A14,'Transactions'!$C$6:$C$327,"SELL")</x:f>
        <x:v>0.66873</x:v>
      </x:c>
      <x:c r="E14" s="3" t="str">
        <x:f>IF(F14=0,"",SUMIFS('Transactions'!$I$6:$I$327,'Transactions'!$B$6:$B$327,A14,'Transactions'!$C$6:$C$327,"SELL"))</x:f>
      </x:c>
      <x:c r="F14" s="10" t="n">
        <x:f>SUMIFS('Transactions'!$X$6:$X$327,'Transactions'!$B$6:$B$327,A14,'Transactions'!$C$6:$C$327,"SELL")</x:f>
        <x:v>0</x:v>
      </x:c>
      <x:c r="G14" s="10" t="n">
        <x:f>COUNTIFS('Transactions'!$B$6:$B$327,A14,'Transactions'!$C$6:$C$327,"SELL",'Transactions'!$H$6:$H$327,"&gt;0")</x:f>
        <x:v>6</x:v>
      </x:c>
      <x:c r="H14" s="10" t="n">
        <x:f>COUNTIFS('Transactions'!$B$6:$B$327,A14,'Transactions'!$C$6:$C$327,"SELL",'Transactions'!$H$6:$H$327,"&lt;0")</x:f>
        <x:v>1</x:v>
      </x:c>
      <x:c r="I14" s="11" t="n">
        <x:f>IF(G14+H14=0,"",G14/(G14+H14))</x:f>
        <x:v>0.8571428571428571</x:v>
      </x:c>
    </x:row>
    <x:row r="15" ht="21" customHeight="1">
      <x:c r="A15" s="3" t="str">
        <x:v>ENAUSDT</x:v>
      </x:c>
      <x:c r="B15" s="10" t="n">
        <x:f>COUNTIFS('Transactions'!$B$6:$B$327,A15,'Transactions'!$C$6:$C$327,"BUY")</x:f>
        <x:v>5</x:v>
      </x:c>
      <x:c r="C15" s="10" t="n">
        <x:f>COUNTIFS('Transactions'!$B$6:$B$327,A15,'Transactions'!$C$6:$C$327,"SELL")</x:f>
        <x:v>5</x:v>
      </x:c>
      <x:c r="D15" s="9" t="n">
        <x:f>SUMIFS('Transactions'!$H$6:$H$327,'Transactions'!$B$6:$B$327,A15,'Transactions'!$C$6:$C$327,"SELL")</x:f>
        <x:v>-0.9661519999999999</x:v>
      </x:c>
      <x:c r="E15" s="3" t="str">
        <x:f>IF(F15=0,"",SUMIFS('Transactions'!$I$6:$I$327,'Transactions'!$B$6:$B$327,A15,'Transactions'!$C$6:$C$327,"SELL"))</x:f>
      </x:c>
      <x:c r="F15" s="10" t="n">
        <x:f>SUMIFS('Transactions'!$X$6:$X$327,'Transactions'!$B$6:$B$327,A15,'Transactions'!$C$6:$C$327,"SELL")</x:f>
        <x:v>0</x:v>
      </x:c>
      <x:c r="G15" s="10" t="n">
        <x:f>COUNTIFS('Transactions'!$B$6:$B$327,A15,'Transactions'!$C$6:$C$327,"SELL",'Transactions'!$H$6:$H$327,"&gt;0")</x:f>
        <x:v>0</x:v>
      </x:c>
      <x:c r="H15" s="10" t="n">
        <x:f>COUNTIFS('Transactions'!$B$6:$B$327,A15,'Transactions'!$C$6:$C$327,"SELL",'Transactions'!$H$6:$H$327,"&lt;0")</x:f>
        <x:v>5</x:v>
      </x:c>
      <x:c r="I15" s="11" t="n">
        <x:f>IF(G15+H15=0,"",G15/(G15+H15))</x:f>
        <x:v>0</x:v>
      </x:c>
    </x:row>
    <x:row r="16" ht="21" customHeight="1">
      <x:c r="A16" s="3" t="str">
        <x:v>ETHUSDT</x:v>
      </x:c>
      <x:c r="B16" s="10" t="n">
        <x:f>COUNTIFS('Transactions'!$B$6:$B$327,A16,'Transactions'!$C$6:$C$327,"BUY")</x:f>
        <x:v>6</x:v>
      </x:c>
      <x:c r="C16" s="10" t="n">
        <x:f>COUNTIFS('Transactions'!$B$6:$B$327,A16,'Transactions'!$C$6:$C$327,"SELL")</x:f>
        <x:v>6</x:v>
      </x:c>
      <x:c r="D16" s="9" t="n">
        <x:f>SUMIFS('Transactions'!$H$6:$H$327,'Transactions'!$B$6:$B$327,A16,'Transactions'!$C$6:$C$327,"SELL")</x:f>
        <x:v>-0.26195599999999997</x:v>
      </x:c>
      <x:c r="E16" s="3" t="str">
        <x:f>IF(F16=0,"",SUMIFS('Transactions'!$I$6:$I$327,'Transactions'!$B$6:$B$327,A16,'Transactions'!$C$6:$C$327,"SELL"))</x:f>
      </x:c>
      <x:c r="F16" s="10" t="n">
        <x:f>SUMIFS('Transactions'!$X$6:$X$327,'Transactions'!$B$6:$B$327,A16,'Transactions'!$C$6:$C$327,"SELL")</x:f>
        <x:v>0</x:v>
      </x:c>
      <x:c r="G16" s="10" t="n">
        <x:f>COUNTIFS('Transactions'!$B$6:$B$327,A16,'Transactions'!$C$6:$C$327,"SELL",'Transactions'!$H$6:$H$327,"&gt;0")</x:f>
        <x:v>2</x:v>
      </x:c>
      <x:c r="H16" s="10" t="n">
        <x:f>COUNTIFS('Transactions'!$B$6:$B$327,A16,'Transactions'!$C$6:$C$327,"SELL",'Transactions'!$H$6:$H$327,"&lt;0")</x:f>
        <x:v>4</x:v>
      </x:c>
      <x:c r="I16" s="11" t="n">
        <x:f>IF(G16+H16=0,"",G16/(G16+H16))</x:f>
        <x:v>0.3333333333333333</x:v>
      </x:c>
    </x:row>
    <x:row r="17" ht="21" customHeight="1">
      <x:c r="A17" s="3" t="str">
        <x:v>FILUSDT</x:v>
      </x:c>
      <x:c r="B17" s="10" t="n">
        <x:f>COUNTIFS('Transactions'!$B$6:$B$327,A17,'Transactions'!$C$6:$C$327,"BUY")</x:f>
        <x:v>1</x:v>
      </x:c>
      <x:c r="C17" s="10" t="n">
        <x:f>COUNTIFS('Transactions'!$B$6:$B$327,A17,'Transactions'!$C$6:$C$327,"SELL")</x:f>
        <x:v>1</x:v>
      </x:c>
      <x:c r="D17" s="9" t="n">
        <x:f>SUMIFS('Transactions'!$H$6:$H$327,'Transactions'!$B$6:$B$327,A17,'Transactions'!$C$6:$C$327,"SELL")</x:f>
        <x:v>-0.324</x:v>
      </x:c>
      <x:c r="E17" s="3" t="str">
        <x:f>IF(F17=0,"",SUMIFS('Transactions'!$I$6:$I$327,'Transactions'!$B$6:$B$327,A17,'Transactions'!$C$6:$C$327,"SELL"))</x:f>
      </x:c>
      <x:c r="F17" s="10" t="n">
        <x:f>SUMIFS('Transactions'!$X$6:$X$327,'Transactions'!$B$6:$B$327,A17,'Transactions'!$C$6:$C$327,"SELL")</x:f>
        <x:v>0</x:v>
      </x:c>
      <x:c r="G17" s="10" t="n">
        <x:f>COUNTIFS('Transactions'!$B$6:$B$327,A17,'Transactions'!$C$6:$C$327,"SELL",'Transactions'!$H$6:$H$327,"&gt;0")</x:f>
        <x:v>0</x:v>
      </x:c>
      <x:c r="H17" s="10" t="n">
        <x:f>COUNTIFS('Transactions'!$B$6:$B$327,A17,'Transactions'!$C$6:$C$327,"SELL",'Transactions'!$H$6:$H$327,"&lt;0")</x:f>
        <x:v>1</x:v>
      </x:c>
      <x:c r="I17" s="11" t="n">
        <x:f>IF(G17+H17=0,"",G17/(G17+H17))</x:f>
        <x:v>0</x:v>
      </x:c>
    </x:row>
    <x:row r="18" ht="21" customHeight="1">
      <x:c r="A18" s="3" t="str">
        <x:v>HOLOUSDT</x:v>
      </x:c>
      <x:c r="B18" s="10" t="n">
        <x:f>COUNTIFS('Transactions'!$B$6:$B$327,A18,'Transactions'!$C$6:$C$327,"BUY")</x:f>
        <x:v>9</x:v>
      </x:c>
      <x:c r="C18" s="10" t="n">
        <x:f>COUNTIFS('Transactions'!$B$6:$B$327,A18,'Transactions'!$C$6:$C$327,"SELL")</x:f>
        <x:v>9</x:v>
      </x:c>
      <x:c r="D18" s="9" t="n">
        <x:f>SUMIFS('Transactions'!$H$6:$H$327,'Transactions'!$B$6:$B$327,A18,'Transactions'!$C$6:$C$327,"SELL")</x:f>
        <x:v>-0.9838399999999998</x:v>
      </x:c>
      <x:c r="E18" s="3" t="str">
        <x:f>IF(F18=0,"",SUMIFS('Transactions'!$I$6:$I$327,'Transactions'!$B$6:$B$327,A18,'Transactions'!$C$6:$C$327,"SELL"))</x:f>
      </x:c>
      <x:c r="F18" s="10" t="n">
        <x:f>SUMIFS('Transactions'!$X$6:$X$327,'Transactions'!$B$6:$B$327,A18,'Transactions'!$C$6:$C$327,"SELL")</x:f>
        <x:v>0</x:v>
      </x:c>
      <x:c r="G18" s="10" t="n">
        <x:f>COUNTIFS('Transactions'!$B$6:$B$327,A18,'Transactions'!$C$6:$C$327,"SELL",'Transactions'!$H$6:$H$327,"&gt;0")</x:f>
        <x:v>4</x:v>
      </x:c>
      <x:c r="H18" s="10" t="n">
        <x:f>COUNTIFS('Transactions'!$B$6:$B$327,A18,'Transactions'!$C$6:$C$327,"SELL",'Transactions'!$H$6:$H$327,"&lt;0")</x:f>
        <x:v>5</x:v>
      </x:c>
      <x:c r="I18" s="11" t="n">
        <x:f>IF(G18+H18=0,"",G18/(G18+H18))</x:f>
        <x:v>0.4444444444444444</x:v>
      </x:c>
    </x:row>
    <x:row r="19" ht="21" customHeight="1">
      <x:c r="A19" s="3" t="str">
        <x:v>INJUSDT</x:v>
      </x:c>
      <x:c r="B19" s="10" t="n">
        <x:f>COUNTIFS('Transactions'!$B$6:$B$327,A19,'Transactions'!$C$6:$C$327,"BUY")</x:f>
        <x:v>1</x:v>
      </x:c>
      <x:c r="C19" s="10" t="n">
        <x:f>COUNTIFS('Transactions'!$B$6:$B$327,A19,'Transactions'!$C$6:$C$327,"SELL")</x:f>
        <x:v>1</x:v>
      </x:c>
      <x:c r="D19" s="9" t="n">
        <x:f>SUMIFS('Transactions'!$H$6:$H$327,'Transactions'!$B$6:$B$327,A19,'Transactions'!$C$6:$C$327,"SELL")</x:f>
        <x:v>-0.2347</x:v>
      </x:c>
      <x:c r="E19" s="3" t="str">
        <x:f>IF(F19=0,"",SUMIFS('Transactions'!$I$6:$I$327,'Transactions'!$B$6:$B$327,A19,'Transactions'!$C$6:$C$327,"SELL"))</x:f>
      </x:c>
      <x:c r="F19" s="10" t="n">
        <x:f>SUMIFS('Transactions'!$X$6:$X$327,'Transactions'!$B$6:$B$327,A19,'Transactions'!$C$6:$C$327,"SELL")</x:f>
        <x:v>0</x:v>
      </x:c>
      <x:c r="G19" s="10" t="n">
        <x:f>COUNTIFS('Transactions'!$B$6:$B$327,A19,'Transactions'!$C$6:$C$327,"SELL",'Transactions'!$H$6:$H$327,"&gt;0")</x:f>
        <x:v>0</x:v>
      </x:c>
      <x:c r="H19" s="10" t="n">
        <x:f>COUNTIFS('Transactions'!$B$6:$B$327,A19,'Transactions'!$C$6:$C$327,"SELL",'Transactions'!$H$6:$H$327,"&lt;0")</x:f>
        <x:v>1</x:v>
      </x:c>
      <x:c r="I19" s="11" t="n">
        <x:f>IF(G19+H19=0,"",G19/(G19+H19))</x:f>
        <x:v>0</x:v>
      </x:c>
    </x:row>
    <x:row r="20" ht="21" customHeight="1">
      <x:c r="A20" s="3" t="str">
        <x:v>LINKUSDT</x:v>
      </x:c>
      <x:c r="B20" s="10" t="n">
        <x:f>COUNTIFS('Transactions'!$B$6:$B$327,A20,'Transactions'!$C$6:$C$327,"BUY")</x:f>
        <x:v>8</x:v>
      </x:c>
      <x:c r="C20" s="10" t="n">
        <x:f>COUNTIFS('Transactions'!$B$6:$B$327,A20,'Transactions'!$C$6:$C$327,"SELL")</x:f>
        <x:v>7</x:v>
      </x:c>
      <x:c r="D20" s="9" t="n">
        <x:f>SUMIFS('Transactions'!$H$6:$H$327,'Transactions'!$B$6:$B$327,A20,'Transactions'!$C$6:$C$327,"SELL")</x:f>
        <x:v>-0.2580799999999999</x:v>
      </x:c>
      <x:c r="E20" s="3" t="str">
        <x:f>IF(F20=0,"",SUMIFS('Transactions'!$I$6:$I$327,'Transactions'!$B$6:$B$327,A20,'Transactions'!$C$6:$C$327,"SELL"))</x:f>
      </x:c>
      <x:c r="F20" s="10" t="n">
        <x:f>SUMIFS('Transactions'!$X$6:$X$327,'Transactions'!$B$6:$B$327,A20,'Transactions'!$C$6:$C$327,"SELL")</x:f>
        <x:v>0</x:v>
      </x:c>
      <x:c r="G20" s="10" t="n">
        <x:f>COUNTIFS('Transactions'!$B$6:$B$327,A20,'Transactions'!$C$6:$C$327,"SELL",'Transactions'!$H$6:$H$327,"&gt;0")</x:f>
        <x:v>3</x:v>
      </x:c>
      <x:c r="H20" s="10" t="n">
        <x:f>COUNTIFS('Transactions'!$B$6:$B$327,A20,'Transactions'!$C$6:$C$327,"SELL",'Transactions'!$H$6:$H$327,"&lt;0")</x:f>
        <x:v>4</x:v>
      </x:c>
      <x:c r="I20" s="11" t="n">
        <x:f>IF(G20+H20=0,"",G20/(G20+H20))</x:f>
        <x:v>0.42857142857142855</x:v>
      </x:c>
    </x:row>
    <x:row r="21" ht="21" customHeight="1">
      <x:c r="A21" s="3" t="str">
        <x:v>LTCUSDT</x:v>
      </x:c>
      <x:c r="B21" s="10" t="n">
        <x:f>COUNTIFS('Transactions'!$B$6:$B$327,A21,'Transactions'!$C$6:$C$327,"BUY")</x:f>
        <x:v>4</x:v>
      </x:c>
      <x:c r="C21" s="10" t="n">
        <x:f>COUNTIFS('Transactions'!$B$6:$B$327,A21,'Transactions'!$C$6:$C$327,"SELL")</x:f>
        <x:v>4</x:v>
      </x:c>
      <x:c r="D21" s="9" t="n">
        <x:f>SUMIFS('Transactions'!$H$6:$H$327,'Transactions'!$B$6:$B$327,A21,'Transactions'!$C$6:$C$327,"SELL")</x:f>
        <x:v>-0.41145</x:v>
      </x:c>
      <x:c r="E21" s="3" t="str">
        <x:f>IF(F21=0,"",SUMIFS('Transactions'!$I$6:$I$327,'Transactions'!$B$6:$B$327,A21,'Transactions'!$C$6:$C$327,"SELL"))</x:f>
      </x:c>
      <x:c r="F21" s="10" t="n">
        <x:f>SUMIFS('Transactions'!$X$6:$X$327,'Transactions'!$B$6:$B$327,A21,'Transactions'!$C$6:$C$327,"SELL")</x:f>
        <x:v>0</x:v>
      </x:c>
      <x:c r="G21" s="10" t="n">
        <x:f>COUNTIFS('Transactions'!$B$6:$B$327,A21,'Transactions'!$C$6:$C$327,"SELL",'Transactions'!$H$6:$H$327,"&gt;0")</x:f>
        <x:v>1</x:v>
      </x:c>
      <x:c r="H21" s="10" t="n">
        <x:f>COUNTIFS('Transactions'!$B$6:$B$327,A21,'Transactions'!$C$6:$C$327,"SELL",'Transactions'!$H$6:$H$327,"&lt;0")</x:f>
        <x:v>3</x:v>
      </x:c>
      <x:c r="I21" s="11" t="n">
        <x:f>IF(G21+H21=0,"",G21/(G21+H21))</x:f>
        <x:v>0.25</x:v>
      </x:c>
    </x:row>
    <x:row r="22" ht="21" customHeight="1">
      <x:c r="A22" s="3" t="str">
        <x:v>NEARUSDT</x:v>
      </x:c>
      <x:c r="B22" s="10" t="n">
        <x:f>COUNTIFS('Transactions'!$B$6:$B$327,A22,'Transactions'!$C$6:$C$327,"BUY")</x:f>
        <x:v>6</x:v>
      </x:c>
      <x:c r="C22" s="10" t="n">
        <x:f>COUNTIFS('Transactions'!$B$6:$B$327,A22,'Transactions'!$C$6:$C$327,"SELL")</x:f>
        <x:v>5</x:v>
      </x:c>
      <x:c r="D22" s="9" t="n">
        <x:f>SUMIFS('Transactions'!$H$6:$H$327,'Transactions'!$B$6:$B$327,A22,'Transactions'!$C$6:$C$327,"SELL")</x:f>
        <x:v>-0.7358</x:v>
      </x:c>
      <x:c r="E22" s="3" t="str">
        <x:f>IF(F22=0,"",SUMIFS('Transactions'!$I$6:$I$327,'Transactions'!$B$6:$B$327,A22,'Transactions'!$C$6:$C$327,"SELL"))</x:f>
      </x:c>
      <x:c r="F22" s="10" t="n">
        <x:f>SUMIFS('Transactions'!$X$6:$X$327,'Transactions'!$B$6:$B$327,A22,'Transactions'!$C$6:$C$327,"SELL")</x:f>
        <x:v>0</x:v>
      </x:c>
      <x:c r="G22" s="10" t="n">
        <x:f>COUNTIFS('Transactions'!$B$6:$B$327,A22,'Transactions'!$C$6:$C$327,"SELL",'Transactions'!$H$6:$H$327,"&gt;0")</x:f>
        <x:v>1</x:v>
      </x:c>
      <x:c r="H22" s="10" t="n">
        <x:f>COUNTIFS('Transactions'!$B$6:$B$327,A22,'Transactions'!$C$6:$C$327,"SELL",'Transactions'!$H$6:$H$327,"&lt;0")</x:f>
        <x:v>4</x:v>
      </x:c>
      <x:c r="I22" s="11" t="n">
        <x:f>IF(G22+H22=0,"",G22/(G22+H22))</x:f>
        <x:v>0.2</x:v>
      </x:c>
    </x:row>
    <x:row r="23" ht="21" customHeight="1">
      <x:c r="A23" s="3" t="str">
        <x:v>ONDOUSDT</x:v>
      </x:c>
      <x:c r="B23" s="10" t="n">
        <x:f>COUNTIFS('Transactions'!$B$6:$B$327,A23,'Transactions'!$C$6:$C$327,"BUY")</x:f>
        <x:v>1</x:v>
      </x:c>
      <x:c r="C23" s="10" t="n">
        <x:f>COUNTIFS('Transactions'!$B$6:$B$327,A23,'Transactions'!$C$6:$C$327,"SELL")</x:f>
        <x:v>1</x:v>
      </x:c>
      <x:c r="D23" s="9" t="n">
        <x:f>SUMIFS('Transactions'!$H$6:$H$327,'Transactions'!$B$6:$B$327,A23,'Transactions'!$C$6:$C$327,"SELL")</x:f>
        <x:v>0.14994</x:v>
      </x:c>
      <x:c r="E23" s="3" t="str">
        <x:f>IF(F23=0,"",SUMIFS('Transactions'!$I$6:$I$327,'Transactions'!$B$6:$B$327,A23,'Transactions'!$C$6:$C$327,"SELL"))</x:f>
      </x:c>
      <x:c r="F23" s="10" t="n">
        <x:f>SUMIFS('Transactions'!$X$6:$X$327,'Transactions'!$B$6:$B$327,A23,'Transactions'!$C$6:$C$327,"SELL")</x:f>
        <x:v>0</x:v>
      </x:c>
      <x:c r="G23" s="10" t="n">
        <x:f>COUNTIFS('Transactions'!$B$6:$B$327,A23,'Transactions'!$C$6:$C$327,"SELL",'Transactions'!$H$6:$H$327,"&gt;0")</x:f>
        <x:v>1</x:v>
      </x:c>
      <x:c r="H23" s="10" t="n">
        <x:f>COUNTIFS('Transactions'!$B$6:$B$327,A23,'Transactions'!$C$6:$C$327,"SELL",'Transactions'!$H$6:$H$327,"&lt;0")</x:f>
        <x:v>0</x:v>
      </x:c>
      <x:c r="I23" s="11" t="n">
        <x:f>IF(G23+H23=0,"",G23/(G23+H23))</x:f>
        <x:v>1</x:v>
      </x:c>
    </x:row>
    <x:row r="24" ht="21" customHeight="1">
      <x:c r="A24" s="3" t="str">
        <x:v>PEPEUSDT</x:v>
      </x:c>
      <x:c r="B24" s="10" t="n">
        <x:f>COUNTIFS('Transactions'!$B$6:$B$327,A24,'Transactions'!$C$6:$C$327,"BUY")</x:f>
        <x:v>5</x:v>
      </x:c>
      <x:c r="C24" s="10" t="n">
        <x:f>COUNTIFS('Transactions'!$B$6:$B$327,A24,'Transactions'!$C$6:$C$327,"SELL")</x:f>
        <x:v>5</x:v>
      </x:c>
      <x:c r="D24" s="9" t="n">
        <x:f>SUMIFS('Transactions'!$H$6:$H$327,'Transactions'!$B$6:$B$327,A24,'Transactions'!$C$6:$C$327,"SELL")</x:f>
        <x:v>0.001764760000000004</x:v>
      </x:c>
      <x:c r="E24" s="3" t="str">
        <x:f>IF(F24=0,"",SUMIFS('Transactions'!$I$6:$I$327,'Transactions'!$B$6:$B$327,A24,'Transactions'!$C$6:$C$327,"SELL"))</x:f>
      </x:c>
      <x:c r="F24" s="10" t="n">
        <x:f>SUMIFS('Transactions'!$X$6:$X$327,'Transactions'!$B$6:$B$327,A24,'Transactions'!$C$6:$C$327,"SELL")</x:f>
        <x:v>0</x:v>
      </x:c>
      <x:c r="G24" s="10" t="n">
        <x:f>COUNTIFS('Transactions'!$B$6:$B$327,A24,'Transactions'!$C$6:$C$327,"SELL",'Transactions'!$H$6:$H$327,"&gt;0")</x:f>
        <x:v>3</x:v>
      </x:c>
      <x:c r="H24" s="10" t="n">
        <x:f>COUNTIFS('Transactions'!$B$6:$B$327,A24,'Transactions'!$C$6:$C$327,"SELL",'Transactions'!$H$6:$H$327,"&lt;0")</x:f>
        <x:v>1</x:v>
      </x:c>
      <x:c r="I24" s="11" t="n">
        <x:f>IF(G24+H24=0,"",G24/(G24+H24))</x:f>
        <x:v>0.75</x:v>
      </x:c>
    </x:row>
    <x:row r="25" ht="21" customHeight="1">
      <x:c r="A25" s="3" t="str">
        <x:v>PUMPUSDT</x:v>
      </x:c>
      <x:c r="B25" s="10" t="n">
        <x:f>COUNTIFS('Transactions'!$B$6:$B$327,A25,'Transactions'!$C$6:$C$327,"BUY")</x:f>
        <x:v>3</x:v>
      </x:c>
      <x:c r="C25" s="10" t="n">
        <x:f>COUNTIFS('Transactions'!$B$6:$B$327,A25,'Transactions'!$C$6:$C$327,"SELL")</x:f>
        <x:v>3</x:v>
      </x:c>
      <x:c r="D25" s="9" t="n">
        <x:f>SUMIFS('Transactions'!$H$6:$H$327,'Transactions'!$B$6:$B$327,A25,'Transactions'!$C$6:$C$327,"SELL")</x:f>
        <x:v>0.21692719959070664</x:v>
      </x:c>
      <x:c r="E25" s="3" t="str">
        <x:f>IF(F25=0,"",SUMIFS('Transactions'!$I$6:$I$327,'Transactions'!$B$6:$B$327,A25,'Transactions'!$C$6:$C$327,"SELL"))</x:f>
      </x:c>
      <x:c r="F25" s="10" t="n">
        <x:f>SUMIFS('Transactions'!$X$6:$X$327,'Transactions'!$B$6:$B$327,A25,'Transactions'!$C$6:$C$327,"SELL")</x:f>
        <x:v>0</x:v>
      </x:c>
      <x:c r="G25" s="10" t="n">
        <x:f>COUNTIFS('Transactions'!$B$6:$B$327,A25,'Transactions'!$C$6:$C$327,"SELL",'Transactions'!$H$6:$H$327,"&gt;0")</x:f>
        <x:v>2</x:v>
      </x:c>
      <x:c r="H25" s="10" t="n">
        <x:f>COUNTIFS('Transactions'!$B$6:$B$327,A25,'Transactions'!$C$6:$C$327,"SELL",'Transactions'!$H$6:$H$327,"&lt;0")</x:f>
        <x:v>1</x:v>
      </x:c>
      <x:c r="I25" s="11" t="n">
        <x:f>IF(G25+H25=0,"",G25/(G25+H25))</x:f>
        <x:v>0.6666666666666666</x:v>
      </x:c>
    </x:row>
    <x:row r="26" ht="21" customHeight="1">
      <x:c r="A26" s="3" t="str">
        <x:v>RAYUSDT</x:v>
      </x:c>
      <x:c r="B26" s="10" t="n">
        <x:f>COUNTIFS('Transactions'!$B$6:$B$327,A26,'Transactions'!$C$6:$C$327,"BUY")</x:f>
        <x:v>1</x:v>
      </x:c>
      <x:c r="C26" s="10" t="n">
        <x:f>COUNTIFS('Transactions'!$B$6:$B$327,A26,'Transactions'!$C$6:$C$327,"SELL")</x:f>
        <x:v>1</x:v>
      </x:c>
      <x:c r="D26" s="9" t="n">
        <x:f>SUMIFS('Transactions'!$H$6:$H$327,'Transactions'!$B$6:$B$327,A26,'Transactions'!$C$6:$C$327,"SELL")</x:f>
        <x:v>0.32702</x:v>
      </x:c>
      <x:c r="E26" s="3" t="str">
        <x:f>IF(F26=0,"",SUMIFS('Transactions'!$I$6:$I$327,'Transactions'!$B$6:$B$327,A26,'Transactions'!$C$6:$C$327,"SELL"))</x:f>
      </x:c>
      <x:c r="F26" s="10" t="n">
        <x:f>SUMIFS('Transactions'!$X$6:$X$327,'Transactions'!$B$6:$B$327,A26,'Transactions'!$C$6:$C$327,"SELL")</x:f>
        <x:v>0</x:v>
      </x:c>
      <x:c r="G26" s="10" t="n">
        <x:f>COUNTIFS('Transactions'!$B$6:$B$327,A26,'Transactions'!$C$6:$C$327,"SELL",'Transactions'!$H$6:$H$327,"&gt;0")</x:f>
        <x:v>1</x:v>
      </x:c>
      <x:c r="H26" s="10" t="n">
        <x:f>COUNTIFS('Transactions'!$B$6:$B$327,A26,'Transactions'!$C$6:$C$327,"SELL",'Transactions'!$H$6:$H$327,"&lt;0")</x:f>
        <x:v>0</x:v>
      </x:c>
      <x:c r="I26" s="11" t="n">
        <x:f>IF(G26+H26=0,"",G26/(G26+H26))</x:f>
        <x:v>1</x:v>
      </x:c>
    </x:row>
    <x:row r="27" ht="21" customHeight="1">
      <x:c r="A27" s="3" t="str">
        <x:v>SNDKBUSDT</x:v>
      </x:c>
      <x:c r="B27" s="10" t="n">
        <x:f>COUNTIFS('Transactions'!$B$6:$B$327,A27,'Transactions'!$C$6:$C$327,"BUY")</x:f>
        <x:v>8</x:v>
      </x:c>
      <x:c r="C27" s="10" t="n">
        <x:f>COUNTIFS('Transactions'!$B$6:$B$327,A27,'Transactions'!$C$6:$C$327,"SELL")</x:f>
        <x:v>8</x:v>
      </x:c>
      <x:c r="D27" s="9" t="n">
        <x:f>SUMIFS('Transactions'!$H$6:$H$327,'Transactions'!$B$6:$B$327,A27,'Transactions'!$C$6:$C$327,"SELL")</x:f>
        <x:v>0.05229071727748694</x:v>
      </x:c>
      <x:c r="E27" s="3" t="str">
        <x:f>IF(F27=0,"",SUMIFS('Transactions'!$I$6:$I$327,'Transactions'!$B$6:$B$327,A27,'Transactions'!$C$6:$C$327,"SELL"))</x:f>
      </x:c>
      <x:c r="F27" s="10" t="n">
        <x:f>SUMIFS('Transactions'!$X$6:$X$327,'Transactions'!$B$6:$B$327,A27,'Transactions'!$C$6:$C$327,"SELL")</x:f>
        <x:v>0</x:v>
      </x:c>
      <x:c r="G27" s="10" t="n">
        <x:f>COUNTIFS('Transactions'!$B$6:$B$327,A27,'Transactions'!$C$6:$C$327,"SELL",'Transactions'!$H$6:$H$327,"&gt;0")</x:f>
        <x:v>2</x:v>
      </x:c>
      <x:c r="H27" s="10" t="n">
        <x:f>COUNTIFS('Transactions'!$B$6:$B$327,A27,'Transactions'!$C$6:$C$327,"SELL",'Transactions'!$H$6:$H$327,"&lt;0")</x:f>
        <x:v>6</x:v>
      </x:c>
      <x:c r="I27" s="11" t="n">
        <x:f>IF(G27+H27=0,"",G27/(G27+H27))</x:f>
        <x:v>0.25</x:v>
      </x:c>
    </x:row>
    <x:row r="28" ht="21" customHeight="1">
      <x:c r="A28" s="3" t="str">
        <x:v>SOLUSDT</x:v>
      </x:c>
      <x:c r="B28" s="10" t="n">
        <x:f>COUNTIFS('Transactions'!$B$6:$B$327,A28,'Transactions'!$C$6:$C$327,"BUY")</x:f>
        <x:v>8</x:v>
      </x:c>
      <x:c r="C28" s="10" t="n">
        <x:f>COUNTIFS('Transactions'!$B$6:$B$327,A28,'Transactions'!$C$6:$C$327,"SELL")</x:f>
        <x:v>8</x:v>
      </x:c>
      <x:c r="D28" s="9" t="n">
        <x:f>SUMIFS('Transactions'!$H$6:$H$327,'Transactions'!$B$6:$B$327,A28,'Transactions'!$C$6:$C$327,"SELL")</x:f>
        <x:v>-0.23774999999999996</x:v>
      </x:c>
      <x:c r="E28" s="3" t="str">
        <x:f>IF(F28=0,"",SUMIFS('Transactions'!$I$6:$I$327,'Transactions'!$B$6:$B$327,A28,'Transactions'!$C$6:$C$327,"SELL"))</x:f>
      </x:c>
      <x:c r="F28" s="10" t="n">
        <x:f>SUMIFS('Transactions'!$X$6:$X$327,'Transactions'!$B$6:$B$327,A28,'Transactions'!$C$6:$C$327,"SELL")</x:f>
        <x:v>0</x:v>
      </x:c>
      <x:c r="G28" s="10" t="n">
        <x:f>COUNTIFS('Transactions'!$B$6:$B$327,A28,'Transactions'!$C$6:$C$327,"SELL",'Transactions'!$H$6:$H$327,"&gt;0")</x:f>
        <x:v>6</x:v>
      </x:c>
      <x:c r="H28" s="10" t="n">
        <x:f>COUNTIFS('Transactions'!$B$6:$B$327,A28,'Transactions'!$C$6:$C$327,"SELL",'Transactions'!$H$6:$H$327,"&lt;0")</x:f>
        <x:v>2</x:v>
      </x:c>
      <x:c r="I28" s="11" t="n">
        <x:f>IF(G28+H28=0,"",G28/(G28+H28))</x:f>
        <x:v>0.75</x:v>
      </x:c>
    </x:row>
    <x:row r="29" ht="21" customHeight="1">
      <x:c r="A29" s="3" t="str">
        <x:v>SOXLBUSDT</x:v>
      </x:c>
      <x:c r="B29" s="10" t="n">
        <x:f>COUNTIFS('Transactions'!$B$6:$B$327,A29,'Transactions'!$C$6:$C$327,"BUY")</x:f>
        <x:v>2</x:v>
      </x:c>
      <x:c r="C29" s="10" t="n">
        <x:f>COUNTIFS('Transactions'!$B$6:$B$327,A29,'Transactions'!$C$6:$C$327,"SELL")</x:f>
        <x:v>2</x:v>
      </x:c>
      <x:c r="D29" s="9" t="n">
        <x:f>SUMIFS('Transactions'!$H$6:$H$327,'Transactions'!$B$6:$B$327,A29,'Transactions'!$C$6:$C$327,"SELL")</x:f>
        <x:v>-0.41049</x:v>
      </x:c>
      <x:c r="E29" s="3" t="str">
        <x:f>IF(F29=0,"",SUMIFS('Transactions'!$I$6:$I$327,'Transactions'!$B$6:$B$327,A29,'Transactions'!$C$6:$C$327,"SELL"))</x:f>
      </x:c>
      <x:c r="F29" s="10" t="n">
        <x:f>SUMIFS('Transactions'!$X$6:$X$327,'Transactions'!$B$6:$B$327,A29,'Transactions'!$C$6:$C$327,"SELL")</x:f>
        <x:v>0</x:v>
      </x:c>
      <x:c r="G29" s="10" t="n">
        <x:f>COUNTIFS('Transactions'!$B$6:$B$327,A29,'Transactions'!$C$6:$C$327,"SELL",'Transactions'!$H$6:$H$327,"&gt;0")</x:f>
        <x:v>0</x:v>
      </x:c>
      <x:c r="H29" s="10" t="n">
        <x:f>COUNTIFS('Transactions'!$B$6:$B$327,A29,'Transactions'!$C$6:$C$327,"SELL",'Transactions'!$H$6:$H$327,"&lt;0")</x:f>
        <x:v>2</x:v>
      </x:c>
      <x:c r="I29" s="11" t="n">
        <x:f>IF(G29+H29=0,"",G29/(G29+H29))</x:f>
        <x:v>0</x:v>
      </x:c>
    </x:row>
    <x:row r="30" ht="21" customHeight="1">
      <x:c r="A30" s="3" t="str">
        <x:v>SUIUSDT</x:v>
      </x:c>
      <x:c r="B30" s="10" t="n">
        <x:f>COUNTIFS('Transactions'!$B$6:$B$327,A30,'Transactions'!$C$6:$C$327,"BUY")</x:f>
        <x:v>10</x:v>
      </x:c>
      <x:c r="C30" s="10" t="n">
        <x:f>COUNTIFS('Transactions'!$B$6:$B$327,A30,'Transactions'!$C$6:$C$327,"SELL")</x:f>
        <x:v>10</x:v>
      </x:c>
      <x:c r="D30" s="9" t="n">
        <x:f>SUMIFS('Transactions'!$H$6:$H$327,'Transactions'!$B$6:$B$327,A30,'Transactions'!$C$6:$C$327,"SELL")</x:f>
        <x:v>-0.39557000000000003</x:v>
      </x:c>
      <x:c r="E30" s="3" t="str">
        <x:f>IF(F30=0,"",SUMIFS('Transactions'!$I$6:$I$327,'Transactions'!$B$6:$B$327,A30,'Transactions'!$C$6:$C$327,"SELL"))</x:f>
      </x:c>
      <x:c r="F30" s="10" t="n">
        <x:f>SUMIFS('Transactions'!$X$6:$X$327,'Transactions'!$B$6:$B$327,A30,'Transactions'!$C$6:$C$327,"SELL")</x:f>
        <x:v>0</x:v>
      </x:c>
      <x:c r="G30" s="10" t="n">
        <x:f>COUNTIFS('Transactions'!$B$6:$B$327,A30,'Transactions'!$C$6:$C$327,"SELL",'Transactions'!$H$6:$H$327,"&gt;0")</x:f>
        <x:v>4</x:v>
      </x:c>
      <x:c r="H30" s="10" t="n">
        <x:f>COUNTIFS('Transactions'!$B$6:$B$327,A30,'Transactions'!$C$6:$C$327,"SELL",'Transactions'!$H$6:$H$327,"&lt;0")</x:f>
        <x:v>6</x:v>
      </x:c>
      <x:c r="I30" s="11" t="n">
        <x:f>IF(G30+H30=0,"",G30/(G30+H30))</x:f>
        <x:v>0.4</x:v>
      </x:c>
    </x:row>
    <x:row r="31" ht="21" customHeight="1">
      <x:c r="A31" s="3" t="str">
        <x:v>TAOUSDT</x:v>
      </x:c>
      <x:c r="B31" s="10" t="n">
        <x:f>COUNTIFS('Transactions'!$B$6:$B$327,A31,'Transactions'!$C$6:$C$327,"BUY")</x:f>
        <x:v>3</x:v>
      </x:c>
      <x:c r="C31" s="10" t="n">
        <x:f>COUNTIFS('Transactions'!$B$6:$B$327,A31,'Transactions'!$C$6:$C$327,"SELL")</x:f>
        <x:v>3</x:v>
      </x:c>
      <x:c r="D31" s="9" t="n">
        <x:f>SUMIFS('Transactions'!$H$6:$H$327,'Transactions'!$B$6:$B$327,A31,'Transactions'!$C$6:$C$327,"SELL")</x:f>
        <x:v>-0.61248</x:v>
      </x:c>
      <x:c r="E31" s="3" t="str">
        <x:f>IF(F31=0,"",SUMIFS('Transactions'!$I$6:$I$327,'Transactions'!$B$6:$B$327,A31,'Transactions'!$C$6:$C$327,"SELL"))</x:f>
      </x:c>
      <x:c r="F31" s="10" t="n">
        <x:f>SUMIFS('Transactions'!$X$6:$X$327,'Transactions'!$B$6:$B$327,A31,'Transactions'!$C$6:$C$327,"SELL")</x:f>
        <x:v>0</x:v>
      </x:c>
      <x:c r="G31" s="10" t="n">
        <x:f>COUNTIFS('Transactions'!$B$6:$B$327,A31,'Transactions'!$C$6:$C$327,"SELL",'Transactions'!$H$6:$H$327,"&gt;0")</x:f>
        <x:v>0</x:v>
      </x:c>
      <x:c r="H31" s="10" t="n">
        <x:f>COUNTIFS('Transactions'!$B$6:$B$327,A31,'Transactions'!$C$6:$C$327,"SELL",'Transactions'!$H$6:$H$327,"&lt;0")</x:f>
        <x:v>3</x:v>
      </x:c>
      <x:c r="I31" s="11" t="n">
        <x:f>IF(G31+H31=0,"",G31/(G31+H31))</x:f>
        <x:v>0</x:v>
      </x:c>
    </x:row>
    <x:row r="32" ht="21" customHeight="1">
      <x:c r="A32" s="3" t="str">
        <x:v>THEUSDT</x:v>
      </x:c>
      <x:c r="B32" s="10" t="n">
        <x:f>COUNTIFS('Transactions'!$B$6:$B$327,A32,'Transactions'!$C$6:$C$327,"BUY")</x:f>
        <x:v>4</x:v>
      </x:c>
      <x:c r="C32" s="10" t="n">
        <x:f>COUNTIFS('Transactions'!$B$6:$B$327,A32,'Transactions'!$C$6:$C$327,"SELL")</x:f>
        <x:v>4</x:v>
      </x:c>
      <x:c r="D32" s="9" t="n">
        <x:f>SUMIFS('Transactions'!$H$6:$H$327,'Transactions'!$B$6:$B$327,A32,'Transactions'!$C$6:$C$327,"SELL")</x:f>
        <x:v>-0.3257</x:v>
      </x:c>
      <x:c r="E32" s="3" t="str">
        <x:f>IF(F32=0,"",SUMIFS('Transactions'!$I$6:$I$327,'Transactions'!$B$6:$B$327,A32,'Transactions'!$C$6:$C$327,"SELL"))</x:f>
      </x:c>
      <x:c r="F32" s="10" t="n">
        <x:f>SUMIFS('Transactions'!$X$6:$X$327,'Transactions'!$B$6:$B$327,A32,'Transactions'!$C$6:$C$327,"SELL")</x:f>
        <x:v>0</x:v>
      </x:c>
      <x:c r="G32" s="10" t="n">
        <x:f>COUNTIFS('Transactions'!$B$6:$B$327,A32,'Transactions'!$C$6:$C$327,"SELL",'Transactions'!$H$6:$H$327,"&gt;0")</x:f>
        <x:v>1</x:v>
      </x:c>
      <x:c r="H32" s="10" t="n">
        <x:f>COUNTIFS('Transactions'!$B$6:$B$327,A32,'Transactions'!$C$6:$C$327,"SELL",'Transactions'!$H$6:$H$327,"&lt;0")</x:f>
        <x:v>3</x:v>
      </x:c>
      <x:c r="I32" s="11" t="n">
        <x:f>IF(G32+H32=0,"",G32/(G32+H32))</x:f>
        <x:v>0.25</x:v>
      </x:c>
    </x:row>
    <x:row r="33" ht="21" customHeight="1">
      <x:c r="A33" s="3" t="str">
        <x:v>TRUMPUSDT</x:v>
      </x:c>
      <x:c r="B33" s="10" t="n">
        <x:f>COUNTIFS('Transactions'!$B$6:$B$327,A33,'Transactions'!$C$6:$C$327,"BUY")</x:f>
        <x:v>5</x:v>
      </x:c>
      <x:c r="C33" s="10" t="n">
        <x:f>COUNTIFS('Transactions'!$B$6:$B$327,A33,'Transactions'!$C$6:$C$327,"SELL")</x:f>
        <x:v>4</x:v>
      </x:c>
      <x:c r="D33" s="9" t="n">
        <x:f>SUMIFS('Transactions'!$H$6:$H$327,'Transactions'!$B$6:$B$327,A33,'Transactions'!$C$6:$C$327,"SELL")</x:f>
        <x:v>-0.04435000000000003</x:v>
      </x:c>
      <x:c r="E33" s="3" t="str">
        <x:f>IF(F33=0,"",SUMIFS('Transactions'!$I$6:$I$327,'Transactions'!$B$6:$B$327,A33,'Transactions'!$C$6:$C$327,"SELL"))</x:f>
      </x:c>
      <x:c r="F33" s="10" t="n">
        <x:f>SUMIFS('Transactions'!$X$6:$X$327,'Transactions'!$B$6:$B$327,A33,'Transactions'!$C$6:$C$327,"SELL")</x:f>
        <x:v>0</x:v>
      </x:c>
      <x:c r="G33" s="10" t="n">
        <x:f>COUNTIFS('Transactions'!$B$6:$B$327,A33,'Transactions'!$C$6:$C$327,"SELL",'Transactions'!$H$6:$H$327,"&gt;0")</x:f>
        <x:v>2</x:v>
      </x:c>
      <x:c r="H33" s="10" t="n">
        <x:f>COUNTIFS('Transactions'!$B$6:$B$327,A33,'Transactions'!$C$6:$C$327,"SELL",'Transactions'!$H$6:$H$327,"&lt;0")</x:f>
        <x:v>2</x:v>
      </x:c>
      <x:c r="I33" s="11" t="n">
        <x:f>IF(G33+H33=0,"",G33/(G33+H33))</x:f>
        <x:v>0.5</x:v>
      </x:c>
    </x:row>
    <x:row r="34" ht="21" customHeight="1">
      <x:c r="A34" s="3" t="str">
        <x:v>UNIUSDT</x:v>
      </x:c>
      <x:c r="B34" s="10" t="n">
        <x:f>COUNTIFS('Transactions'!$B$6:$B$327,A34,'Transactions'!$C$6:$C$327,"BUY")</x:f>
        <x:v>4</x:v>
      </x:c>
      <x:c r="C34" s="10" t="n">
        <x:f>COUNTIFS('Transactions'!$B$6:$B$327,A34,'Transactions'!$C$6:$C$327,"SELL")</x:f>
        <x:v>4</x:v>
      </x:c>
      <x:c r="D34" s="9" t="n">
        <x:f>SUMIFS('Transactions'!$H$6:$H$327,'Transactions'!$B$6:$B$327,A34,'Transactions'!$C$6:$C$327,"SELL")</x:f>
        <x:v>0.16504000000000002</x:v>
      </x:c>
      <x:c r="E34" s="3" t="str">
        <x:f>IF(F34=0,"",SUMIFS('Transactions'!$I$6:$I$327,'Transactions'!$B$6:$B$327,A34,'Transactions'!$C$6:$C$327,"SELL"))</x:f>
      </x:c>
      <x:c r="F34" s="10" t="n">
        <x:f>SUMIFS('Transactions'!$X$6:$X$327,'Transactions'!$B$6:$B$327,A34,'Transactions'!$C$6:$C$327,"SELL")</x:f>
        <x:v>0</x:v>
      </x:c>
      <x:c r="G34" s="10" t="n">
        <x:f>COUNTIFS('Transactions'!$B$6:$B$327,A34,'Transactions'!$C$6:$C$327,"SELL",'Transactions'!$H$6:$H$327,"&gt;0")</x:f>
        <x:v>3</x:v>
      </x:c>
      <x:c r="H34" s="10" t="n">
        <x:f>COUNTIFS('Transactions'!$B$6:$B$327,A34,'Transactions'!$C$6:$C$327,"SELL",'Transactions'!$H$6:$H$327,"&lt;0")</x:f>
        <x:v>1</x:v>
      </x:c>
      <x:c r="I34" s="11" t="n">
        <x:f>IF(G34+H34=0,"",G34/(G34+H34))</x:f>
        <x:v>0.75</x:v>
      </x:c>
    </x:row>
    <x:row r="35" ht="21" customHeight="1">
      <x:c r="A35" s="3" t="str">
        <x:v>WLDUSDT</x:v>
      </x:c>
      <x:c r="B35" s="10" t="n">
        <x:f>COUNTIFS('Transactions'!$B$6:$B$327,A35,'Transactions'!$C$6:$C$327,"BUY")</x:f>
        <x:v>7</x:v>
      </x:c>
      <x:c r="C35" s="10" t="n">
        <x:f>COUNTIFS('Transactions'!$B$6:$B$327,A35,'Transactions'!$C$6:$C$327,"SELL")</x:f>
        <x:v>7</x:v>
      </x:c>
      <x:c r="D35" s="9" t="n">
        <x:f>SUMIFS('Transactions'!$H$6:$H$327,'Transactions'!$B$6:$B$327,A35,'Transactions'!$C$6:$C$327,"SELL")</x:f>
        <x:v>-0.10004999999999992</x:v>
      </x:c>
      <x:c r="E35" s="3" t="str">
        <x:f>IF(F35=0,"",SUMIFS('Transactions'!$I$6:$I$327,'Transactions'!$B$6:$B$327,A35,'Transactions'!$C$6:$C$327,"SELL"))</x:f>
      </x:c>
      <x:c r="F35" s="10" t="n">
        <x:f>SUMIFS('Transactions'!$X$6:$X$327,'Transactions'!$B$6:$B$327,A35,'Transactions'!$C$6:$C$327,"SELL")</x:f>
        <x:v>0</x:v>
      </x:c>
      <x:c r="G35" s="10" t="n">
        <x:f>COUNTIFS('Transactions'!$B$6:$B$327,A35,'Transactions'!$C$6:$C$327,"SELL",'Transactions'!$H$6:$H$327,"&gt;0")</x:f>
        <x:v>3</x:v>
      </x:c>
      <x:c r="H35" s="10" t="n">
        <x:f>COUNTIFS('Transactions'!$B$6:$B$327,A35,'Transactions'!$C$6:$C$327,"SELL",'Transactions'!$H$6:$H$327,"&lt;0")</x:f>
        <x:v>4</x:v>
      </x:c>
      <x:c r="I35" s="11" t="n">
        <x:f>IF(G35+H35=0,"",G35/(G35+H35))</x:f>
        <x:v>0.42857142857142855</x:v>
      </x:c>
    </x:row>
    <x:row r="36" ht="21" customHeight="1">
      <x:c r="A36" s="3" t="str">
        <x:v>WLFIUSDT</x:v>
      </x:c>
      <x:c r="B36" s="10" t="n">
        <x:f>COUNTIFS('Transactions'!$B$6:$B$327,A36,'Transactions'!$C$6:$C$327,"BUY")</x:f>
        <x:v>1</x:v>
      </x:c>
      <x:c r="C36" s="10" t="n">
        <x:f>COUNTIFS('Transactions'!$B$6:$B$327,A36,'Transactions'!$C$6:$C$327,"SELL")</x:f>
        <x:v>1</x:v>
      </x:c>
      <x:c r="D36" s="9" t="n">
        <x:f>SUMIFS('Transactions'!$H$6:$H$327,'Transactions'!$B$6:$B$327,A36,'Transactions'!$C$6:$C$327,"SELL")</x:f>
        <x:v>0.15732</x:v>
      </x:c>
      <x:c r="E36" s="3" t="str">
        <x:f>IF(F36=0,"",SUMIFS('Transactions'!$I$6:$I$327,'Transactions'!$B$6:$B$327,A36,'Transactions'!$C$6:$C$327,"SELL"))</x:f>
      </x:c>
      <x:c r="F36" s="10" t="n">
        <x:f>SUMIFS('Transactions'!$X$6:$X$327,'Transactions'!$B$6:$B$327,A36,'Transactions'!$C$6:$C$327,"SELL")</x:f>
        <x:v>0</x:v>
      </x:c>
      <x:c r="G36" s="10" t="n">
        <x:f>COUNTIFS('Transactions'!$B$6:$B$327,A36,'Transactions'!$C$6:$C$327,"SELL",'Transactions'!$H$6:$H$327,"&gt;0")</x:f>
        <x:v>1</x:v>
      </x:c>
      <x:c r="H36" s="10" t="n">
        <x:f>COUNTIFS('Transactions'!$B$6:$B$327,A36,'Transactions'!$C$6:$C$327,"SELL",'Transactions'!$H$6:$H$327,"&lt;0")</x:f>
        <x:v>0</x:v>
      </x:c>
      <x:c r="I36" s="11" t="n">
        <x:f>IF(G36+H36=0,"",G36/(G36+H36))</x:f>
        <x:v>1</x:v>
      </x:c>
    </x:row>
    <x:row r="37" ht="21" customHeight="1">
      <x:c r="A37" s="3" t="str">
        <x:v>XLMUSDT</x:v>
      </x:c>
      <x:c r="B37" s="10" t="n">
        <x:f>COUNTIFS('Transactions'!$B$6:$B$327,A37,'Transactions'!$C$6:$C$327,"BUY")</x:f>
        <x:v>2</x:v>
      </x:c>
      <x:c r="C37" s="10" t="n">
        <x:f>COUNTIFS('Transactions'!$B$6:$B$327,A37,'Transactions'!$C$6:$C$327,"SELL")</x:f>
        <x:v>2</x:v>
      </x:c>
      <x:c r="D37" s="9" t="n">
        <x:f>SUMIFS('Transactions'!$H$6:$H$327,'Transactions'!$B$6:$B$327,A37,'Transactions'!$C$6:$C$327,"SELL")</x:f>
        <x:v>-0.44730000000000003</x:v>
      </x:c>
      <x:c r="E37" s="3" t="str">
        <x:f>IF(F37=0,"",SUMIFS('Transactions'!$I$6:$I$327,'Transactions'!$B$6:$B$327,A37,'Transactions'!$C$6:$C$327,"SELL"))</x:f>
      </x:c>
      <x:c r="F37" s="10" t="n">
        <x:f>SUMIFS('Transactions'!$X$6:$X$327,'Transactions'!$B$6:$B$327,A37,'Transactions'!$C$6:$C$327,"SELL")</x:f>
        <x:v>0</x:v>
      </x:c>
      <x:c r="G37" s="10" t="n">
        <x:f>COUNTIFS('Transactions'!$B$6:$B$327,A37,'Transactions'!$C$6:$C$327,"SELL",'Transactions'!$H$6:$H$327,"&gt;0")</x:f>
        <x:v>0</x:v>
      </x:c>
      <x:c r="H37" s="10" t="n">
        <x:f>COUNTIFS('Transactions'!$B$6:$B$327,A37,'Transactions'!$C$6:$C$327,"SELL",'Transactions'!$H$6:$H$327,"&lt;0")</x:f>
        <x:v>2</x:v>
      </x:c>
      <x:c r="I37" s="11" t="n">
        <x:f>IF(G37+H37=0,"",G37/(G37+H37))</x:f>
        <x:v>0</x:v>
      </x:c>
    </x:row>
    <x:row r="38" ht="21" customHeight="1">
      <x:c r="A38" s="3" t="str">
        <x:v>XRPUSDT</x:v>
      </x:c>
      <x:c r="B38" s="10" t="n">
        <x:f>COUNTIFS('Transactions'!$B$6:$B$327,A38,'Transactions'!$C$6:$C$327,"BUY")</x:f>
        <x:v>7</x:v>
      </x:c>
      <x:c r="C38" s="10" t="n">
        <x:f>COUNTIFS('Transactions'!$B$6:$B$327,A38,'Transactions'!$C$6:$C$327,"SELL")</x:f>
        <x:v>6</x:v>
      </x:c>
      <x:c r="D38" s="9" t="n">
        <x:f>SUMIFS('Transactions'!$H$6:$H$327,'Transactions'!$B$6:$B$327,A38,'Transactions'!$C$6:$C$327,"SELL")</x:f>
        <x:v>0.25413</x:v>
      </x:c>
      <x:c r="E38" s="3" t="str">
        <x:f>IF(F38=0,"",SUMIFS('Transactions'!$I$6:$I$327,'Transactions'!$B$6:$B$327,A38,'Transactions'!$C$6:$C$327,"SELL"))</x:f>
      </x:c>
      <x:c r="F38" s="10" t="n">
        <x:f>SUMIFS('Transactions'!$X$6:$X$327,'Transactions'!$B$6:$B$327,A38,'Transactions'!$C$6:$C$327,"SELL")</x:f>
        <x:v>0</x:v>
      </x:c>
      <x:c r="G38" s="10" t="n">
        <x:f>COUNTIFS('Transactions'!$B$6:$B$327,A38,'Transactions'!$C$6:$C$327,"SELL",'Transactions'!$H$6:$H$327,"&gt;0")</x:f>
        <x:v>4</x:v>
      </x:c>
      <x:c r="H38" s="10" t="n">
        <x:f>COUNTIFS('Transactions'!$B$6:$B$327,A38,'Transactions'!$C$6:$C$327,"SELL",'Transactions'!$H$6:$H$327,"&lt;0")</x:f>
        <x:v>2</x:v>
      </x:c>
      <x:c r="I38" s="11" t="n">
        <x:f>IF(G38+H38=0,"",G38/(G38+H38))</x:f>
        <x:v>0.6666666666666666</x:v>
      </x:c>
    </x:row>
    <x:row r="39" ht="21" customHeight="1">
      <x:c r="A39" s="3" t="str">
        <x:v>ZECUSDT</x:v>
      </x:c>
      <x:c r="B39" s="10" t="n">
        <x:f>COUNTIFS('Transactions'!$B$6:$B$327,A39,'Transactions'!$C$6:$C$327,"BUY")</x:f>
        <x:v>6</x:v>
      </x:c>
      <x:c r="C39" s="10" t="n">
        <x:f>COUNTIFS('Transactions'!$B$6:$B$327,A39,'Transactions'!$C$6:$C$327,"SELL")</x:f>
        <x:v>6</x:v>
      </x:c>
      <x:c r="D39" s="9" t="n">
        <x:f>SUMIFS('Transactions'!$H$6:$H$327,'Transactions'!$B$6:$B$327,A39,'Transactions'!$C$6:$C$327,"SELL")</x:f>
        <x:v>-0.25799999999999995</x:v>
      </x:c>
      <x:c r="E39" s="3" t="str">
        <x:f>IF(F39=0,"",SUMIFS('Transactions'!$I$6:$I$327,'Transactions'!$B$6:$B$327,A39,'Transactions'!$C$6:$C$327,"SELL"))</x:f>
      </x:c>
      <x:c r="F39" s="10" t="n">
        <x:f>SUMIFS('Transactions'!$X$6:$X$327,'Transactions'!$B$6:$B$327,A39,'Transactions'!$C$6:$C$327,"SELL")</x:f>
        <x:v>0</x:v>
      </x:c>
      <x:c r="G39" s="10" t="n">
        <x:f>COUNTIFS('Transactions'!$B$6:$B$327,A39,'Transactions'!$C$6:$C$327,"SELL",'Transactions'!$H$6:$H$327,"&gt;0")</x:f>
        <x:v>3</x:v>
      </x:c>
      <x:c r="H39" s="10" t="n">
        <x:f>COUNTIFS('Transactions'!$B$6:$B$327,A39,'Transactions'!$C$6:$C$327,"SELL",'Transactions'!$H$6:$H$327,"&lt;0")</x:f>
        <x:v>3</x:v>
      </x:c>
      <x:c r="I39" s="11" t="n">
        <x:f>IF(G39+H39=0,"",G39/(G39+H39))</x:f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bc5230b69dec40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8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70" hidden="0" customWidth="1"/>
  </x:cols>
  <x:sheetData>
    <x:row r="2">
      <x:c r="A2" s="1" t="str">
        <x:v>Market history</x:v>
      </x:c>
    </x:row>
    <x:row r="3">
      <x:c r="A3" t="str">
        <x:v>Source: market_overview_history.jsonl. Recorded market-wide context, not individual coin candles.</x:v>
      </x:c>
    </x:row>
    <x:row r="5" ht="44" customHeight="1">
      <x:c r="A5" s="7" t="str">
        <x:v>time_riyadh</x:v>
      </x:c>
      <x:c r="B5" s="7" t="str">
        <x:v>recorded_at</x:v>
      </x:c>
      <x:c r="C5" s="7" t="str">
        <x:v>environment</x:v>
      </x:c>
      <x:c r="D5" s="7" t="str">
        <x:v>regime</x:v>
      </x:c>
      <x:c r="E5" s="7" t="str">
        <x:v>expectation</x:v>
      </x:c>
      <x:c r="F5" s="7" t="str">
        <x:v>sample_size</x:v>
      </x:c>
      <x:c r="G5" s="7" t="str">
        <x:v>up_pct</x:v>
      </x:c>
      <x:c r="H5" s="7" t="str">
        <x:v>down_pct</x:v>
      </x:c>
      <x:c r="I5" s="7" t="str">
        <x:v>active_pct</x:v>
      </x:c>
      <x:c r="J5" s="7" t="str">
        <x:v>median_change_pct</x:v>
      </x:c>
      <x:c r="K5" s="7" t="str">
        <x:v>median_range_pct</x:v>
      </x:c>
      <x:c r="L5" s="7" t="str">
        <x:v>formula</x:v>
      </x:c>
      <x:c r="M5" s="7" t="str">
        <x:v>source_line</x:v>
      </x:c>
      <x:c r="N5" s="7" t="str">
        <x:v>raw_json</x:v>
      </x:c>
    </x:row>
    <x:row r="6" ht="21" customHeight="1">
      <x:c r="A6" s="8" t="n">
        <x:v>46275.70670138889</x:v>
      </x:c>
      <x:c r="B6" s="10" t="n">
        <x:v>1789048659</x:v>
      </x:c>
      <x:c r="C6" s="3" t="str">
        <x:v>production</x:v>
      </x:c>
      <x:c r="D6" s="3" t="str">
        <x:v>ACTIVE / WEAK</x:v>
      </x:c>
      <x:c r="E6" s="3" t="str">
        <x:v>Broad selling pressure is elevated; new longs need caution.</x:v>
      </x:c>
      <x:c r="F6" s="10" t="n">
        <x:v>54</x:v>
      </x:c>
      <x:c r="G6" s="9" t="n">
        <x:v>5.6</x:v>
      </x:c>
      <x:c r="H6" s="9" t="n">
        <x:v>85.2</x:v>
      </x:c>
      <x:c r="I6" s="9" t="n">
        <x:v>92.6</x:v>
      </x:c>
      <x:c r="J6" s="9" t="n">
        <x:v>-6.08</x:v>
      </x:c>
      <x:c r="K6" s="9" t="n">
        <x:v>9.98</x:v>
      </x:c>
      <x:c r="L6" s="3" t="str">
        <x:v>Liquid non-stable USDT pairs: volume &gt;= 10M; up/down threshold +/-1.5%; active logarithmic range threshold 3.0%; quiet active breadth threshold 35%; median direction threshold +/-1.0%.</x:v>
      </x:c>
      <x:c r="M6" s="10" t="n">
        <x:v>661</x:v>
      </x:c>
      <x:c r="N6" s="3" t="str">
        <x:v>{"recorded_at": 1789048659, "environment": "production", "regime": "ACTIVE / WEAK", "expectation": "Broad selling pressure is elevated; new longs need caution.", "sample_size": 54, "up_pct": 5.6, "down_pct": 85.2, "active_pct": 92.6, "median_change_pct": -6.08, "median_range_pct": 9.98, "formula": "Liquid non-stable USDT pairs: volume &gt;= 10M; up/down threshold +/-1.5%; active logarithmic range threshold 3.0%; quiet active breadth threshold 35%; median direction threshold +/-1.0%."}</x:v>
      </x:c>
    </x:row>
    <x:row r="7" ht="21" customHeight="1">
      <x:c r="A7" s="8" t="n">
        <x:v>46275.71728009259</x:v>
      </x:c>
      <x:c r="B7" s="10" t="n">
        <x:v>1789049573</x:v>
      </x:c>
      <x:c r="C7" s="3" t="str">
        <x:v>production</x:v>
      </x:c>
      <x:c r="D7" s="3" t="str">
        <x:v>ACTIVE / WEAK</x:v>
      </x:c>
      <x:c r="E7" s="3" t="str">
        <x:v>Broad selling pressure is elevated; new longs need caution.</x:v>
      </x:c>
      <x:c r="F7" s="10" t="n">
        <x:v>54</x:v>
      </x:c>
      <x:c r="G7" s="9" t="n">
        <x:v>3.7</x:v>
      </x:c>
      <x:c r="H7" s="9" t="n">
        <x:v>87</x:v>
      </x:c>
      <x:c r="I7" s="9" t="n">
        <x:v>92.6</x:v>
      </x:c>
      <x:c r="J7" s="9" t="n">
        <x:v>-5.77</x:v>
      </x:c>
      <x:c r="K7" s="9" t="n">
        <x:v>9.98</x:v>
      </x:c>
      <x:c r="L7" s="3" t="str">
        <x:v>Liquid non-stable USDT pairs: volume &gt;= 10M; up/down threshold +/-1.5%; active logarithmic range threshold 3.0%; quiet active breadth threshold 35%; median direction threshold +/-1.0%.</x:v>
      </x:c>
      <x:c r="M7" s="10" t="n">
        <x:v>662</x:v>
      </x:c>
      <x:c r="N7" s="3" t="str">
        <x:v>{"recorded_at": 1789049573, "environment": "production", "regime": "ACTIVE / WEAK", "expectation": "Broad selling pressure is elevated; new longs need caution.", "sample_size": 54, "up_pct": 3.7, "down_pct": 87.0, "active_pct": 92.6, "median_change_pct": -5.77, "median_range_pct": 9.98, "formula": "Liquid non-stable USDT pairs: volume &gt;= 10M; up/down threshold +/-1.5%; active logarithmic range threshold 3.0%; quiet active breadth threshold 35%; median direction threshold +/-1.0%."}</x:v>
      </x:c>
    </x:row>
    <x:row r="8" ht="21" customHeight="1">
      <x:c r="A8" s="8" t="n">
        <x:v>46275.72790509259</x:v>
      </x:c>
      <x:c r="B8" s="10" t="n">
        <x:v>1789050491</x:v>
      </x:c>
      <x:c r="C8" s="3" t="str">
        <x:v>production</x:v>
      </x:c>
      <x:c r="D8" s="3" t="str">
        <x:v>ACTIVE / WEAK</x:v>
      </x:c>
      <x:c r="E8" s="3" t="str">
        <x:v>Broad selling pressure is elevated; new longs need caution.</x:v>
      </x:c>
      <x:c r="F8" s="10" t="n">
        <x:v>54</x:v>
      </x:c>
      <x:c r="G8" s="9" t="n">
        <x:v>3.7</x:v>
      </x:c>
      <x:c r="H8" s="9" t="n">
        <x:v>87</x:v>
      </x:c>
      <x:c r="I8" s="9" t="n">
        <x:v>92.6</x:v>
      </x:c>
      <x:c r="J8" s="9" t="n">
        <x:v>-6.28</x:v>
      </x:c>
      <x:c r="K8" s="9" t="n">
        <x:v>10.22</x:v>
      </x:c>
      <x:c r="L8" s="3" t="str">
        <x:v>Liquid non-stable USDT pairs: volume &gt;= 10M; up/down threshold +/-1.5%; active logarithmic range threshold 3.0%; quiet active breadth threshold 35%; median direction threshold +/-1.0%.</x:v>
      </x:c>
      <x:c r="M8" s="10" t="n">
        <x:v>663</x:v>
      </x:c>
      <x:c r="N8" s="3" t="str">
        <x:v>{"recorded_at": 1789050491, "environment": "production", "regime": "ACTIVE / WEAK", "expectation": "Broad selling pressure is elevated; new longs need caution.", "sample_size": 54, "up_pct": 3.7, "down_pct": 87.0, "active_pct": 92.6, "median_change_pct": -6.28, "median_range_pct": 10.22, "formula": "Liquid non-stable USDT pairs: volume &gt;= 10M; up/down threshold +/-1.5%; active logarithmic range threshold 3.0%; quiet active breadth threshold 35%; median direction threshold +/-1.0%."}</x:v>
      </x:c>
    </x:row>
    <x:row r="9" ht="21" customHeight="1">
      <x:c r="A9" s="8" t="n">
        <x:v>46275.738541666666</x:v>
      </x:c>
      <x:c r="B9" s="10" t="n">
        <x:v>1789051410</x:v>
      </x:c>
      <x:c r="C9" s="3" t="str">
        <x:v>production</x:v>
      </x:c>
      <x:c r="D9" s="3" t="str">
        <x:v>ACTIVE / WEAK</x:v>
      </x:c>
      <x:c r="E9" s="3" t="str">
        <x:v>Broad selling pressure is elevated; new longs need caution.</x:v>
      </x:c>
      <x:c r="F9" s="10" t="n">
        <x:v>53</x:v>
      </x:c>
      <x:c r="G9" s="9" t="n">
        <x:v>3.8</x:v>
      </x:c>
      <x:c r="H9" s="9" t="n">
        <x:v>84.9</x:v>
      </x:c>
      <x:c r="I9" s="9" t="n">
        <x:v>92.5</x:v>
      </x:c>
      <x:c r="J9" s="9" t="n">
        <x:v>-5.91</x:v>
      </x:c>
      <x:c r="K9" s="9" t="n">
        <x:v>9.92</x:v>
      </x:c>
      <x:c r="L9" s="3" t="str">
        <x:v>Liquid non-stable USDT pairs: volume &gt;= 10M; up/down threshold +/-1.5%; active logarithmic range threshold 3.0%; quiet active breadth threshold 35%; median direction threshold +/-1.0%.</x:v>
      </x:c>
      <x:c r="M9" s="10" t="n">
        <x:v>664</x:v>
      </x:c>
      <x:c r="N9" s="3" t="str">
        <x:v>{"recorded_at": 1789051410, "environment": "production", "regime": "ACTIVE / WEAK", "expectation": "Broad selling pressure is elevated; new longs need caution.", "sample_size": 53, "up_pct": 3.8, "down_pct": 84.9, "active_pct": 92.5, "median_change_pct": -5.91, "median_range_pct": 9.92, "formula": "Liquid non-stable USDT pairs: volume &gt;= 10M; up/down threshold +/-1.5%; active logarithmic range threshold 3.0%; quiet active breadth threshold 35%; median direction threshold +/-1.0%."}</x:v>
      </x:c>
    </x:row>
    <x:row r="10" ht="21" customHeight="1">
      <x:c r="A10" s="8" t="n">
        <x:v>46275.749074074076</x:v>
      </x:c>
      <x:c r="B10" s="10" t="n">
        <x:v>1789052320</x:v>
      </x:c>
      <x:c r="C10" s="3" t="str">
        <x:v>production</x:v>
      </x:c>
      <x:c r="D10" s="3" t="str">
        <x:v>ACTIVE / WEAK</x:v>
      </x:c>
      <x:c r="E10" s="3" t="str">
        <x:v>Broad selling pressure is elevated; new longs need caution.</x:v>
      </x:c>
      <x:c r="F10" s="10" t="n">
        <x:v>54</x:v>
      </x:c>
      <x:c r="G10" s="9" t="n">
        <x:v>5.6</x:v>
      </x:c>
      <x:c r="H10" s="9" t="n">
        <x:v>83.3</x:v>
      </x:c>
      <x:c r="I10" s="9" t="n">
        <x:v>92.6</x:v>
      </x:c>
      <x:c r="J10" s="9" t="n">
        <x:v>-5.62</x:v>
      </x:c>
      <x:c r="K10" s="9" t="n">
        <x:v>10.26</x:v>
      </x:c>
      <x:c r="L10" s="3" t="str">
        <x:v>Liquid non-stable USDT pairs: volume &gt;= 10M; up/down threshold +/-1.5%; active logarithmic range threshold 3.0%; quiet active breadth threshold 35%; median direction threshold +/-1.0%.</x:v>
      </x:c>
      <x:c r="M10" s="10" t="n">
        <x:v>665</x:v>
      </x:c>
      <x:c r="N10" s="3" t="str">
        <x:v>{"recorded_at": 1789052320, "environment": "production", "regime": "ACTIVE / WEAK", "expectation": "Broad selling pressure is elevated; new longs need caution.", "sample_size": 54, "up_pct": 5.6, "down_pct": 83.3, "active_pct": 92.6, "median_change_pct": -5.62, "median_range_pct": 10.26, "formula": "Liquid non-stable USDT pairs: volume &gt;= 10M; up/down threshold +/-1.5%; active logarithmic range threshold 3.0%; quiet active breadth threshold 35%; median direction threshold +/-1.0%."}</x:v>
      </x:c>
    </x:row>
    <x:row r="11" ht="21" customHeight="1">
      <x:c r="A11" s="8" t="n">
        <x:v>46275.75958333333</x:v>
      </x:c>
      <x:c r="B11" s="10" t="n">
        <x:v>1789053228</x:v>
      </x:c>
      <x:c r="C11" s="3" t="str">
        <x:v>production</x:v>
      </x:c>
      <x:c r="D11" s="3" t="str">
        <x:v>ACTIVE / WEAK</x:v>
      </x:c>
      <x:c r="E11" s="3" t="str">
        <x:v>Broad selling pressure is elevated; new longs need caution.</x:v>
      </x:c>
      <x:c r="F11" s="10" t="n">
        <x:v>52</x:v>
      </x:c>
      <x:c r="G11" s="9" t="n">
        <x:v>5.8</x:v>
      </x:c>
      <x:c r="H11" s="9" t="n">
        <x:v>78.8</x:v>
      </x:c>
      <x:c r="I11" s="9" t="n">
        <x:v>90.4</x:v>
      </x:c>
      <x:c r="J11" s="9" t="n">
        <x:v>-4.17</x:v>
      </x:c>
      <x:c r="K11" s="9" t="n">
        <x:v>10.17</x:v>
      </x:c>
      <x:c r="L11" s="3" t="str">
        <x:v>Liquid non-stable USDT pairs: volume &gt;= 10M; up/down threshold +/-1.5%; active logarithmic range threshold 3.0%; quiet active breadth threshold 35%; median direction threshold +/-1.0%.</x:v>
      </x:c>
      <x:c r="M11" s="10" t="n">
        <x:v>666</x:v>
      </x:c>
      <x:c r="N11" s="3" t="str">
        <x:v>{"recorded_at": 1789053228, "environment": "production", "regime": "ACTIVE / WEAK", "expectation": "Broad selling pressure is elevated; new longs need caution.", "sample_size": 52, "up_pct": 5.8, "down_pct": 78.8, "active_pct": 90.4, "median_change_pct": -4.17, "median_range_pct": 10.17, "formula": "Liquid non-stable USDT pairs: volume &gt;= 10M; up/down threshold +/-1.5%; active logarithmic range threshold 3.0%; quiet active breadth threshold 35%; median direction threshold +/-1.0%."}</x:v>
      </x:c>
    </x:row>
    <x:row r="12" ht="21" customHeight="1">
      <x:c r="A12" s="8" t="n">
        <x:v>46275.77003472222</x:v>
      </x:c>
      <x:c r="B12" s="10" t="n">
        <x:v>1789054131</x:v>
      </x:c>
      <x:c r="C12" s="3" t="str">
        <x:v>production</x:v>
      </x:c>
      <x:c r="D12" s="3" t="str">
        <x:v>ACTIVE / WEAK</x:v>
      </x:c>
      <x:c r="E12" s="3" t="str">
        <x:v>Broad selling pressure is elevated; new longs need caution.</x:v>
      </x:c>
      <x:c r="F12" s="10" t="n">
        <x:v>52</x:v>
      </x:c>
      <x:c r="G12" s="9" t="n">
        <x:v>7.7</x:v>
      </x:c>
      <x:c r="H12" s="9" t="n">
        <x:v>82.7</x:v>
      </x:c>
      <x:c r="I12" s="9" t="n">
        <x:v>90.4</x:v>
      </x:c>
      <x:c r="J12" s="9" t="n">
        <x:v>-4.11</x:v>
      </x:c>
      <x:c r="K12" s="9" t="n">
        <x:v>9.47</x:v>
      </x:c>
      <x:c r="L12" s="3" t="str">
        <x:v>Liquid non-stable USDT pairs: volume &gt;= 10M; up/down threshold +/-1.5%; active logarithmic range threshold 3.0%; quiet active breadth threshold 35%; median direction threshold +/-1.0%.</x:v>
      </x:c>
      <x:c r="M12" s="10" t="n">
        <x:v>667</x:v>
      </x:c>
      <x:c r="N12" s="3" t="str">
        <x:v>{"recorded_at": 1789054131, "environment": "production", "regime": "ACTIVE / WEAK", "expectation": "Broad selling pressure is elevated; new longs need caution.", "sample_size": 52, "up_pct": 7.7, "down_pct": 82.7, "active_pct": 90.4, "median_change_pct": -4.11, "median_range_pct": 9.47, "formula": "Liquid non-stable USDT pairs: volume &gt;= 10M; up/down threshold +/-1.5%; active logarithmic range threshold 3.0%; quiet active breadth threshold 35%; median direction threshold +/-1.0%."}</x:v>
      </x:c>
    </x:row>
    <x:row r="13" ht="21" customHeight="1">
      <x:c r="A13" s="8" t="n">
        <x:v>46275.78057870371</x:v>
      </x:c>
      <x:c r="B13" s="10" t="n">
        <x:v>1789055042</x:v>
      </x:c>
      <x:c r="C13" s="3" t="str">
        <x:v>production</x:v>
      </x:c>
      <x:c r="D13" s="3" t="str">
        <x:v>ACTIVE / WEAK</x:v>
      </x:c>
      <x:c r="E13" s="3" t="str">
        <x:v>Broad selling pressure is elevated; new longs need caution.</x:v>
      </x:c>
      <x:c r="F13" s="10" t="n">
        <x:v>52</x:v>
      </x:c>
      <x:c r="G13" s="9" t="n">
        <x:v>7.7</x:v>
      </x:c>
      <x:c r="H13" s="9" t="n">
        <x:v>82.7</x:v>
      </x:c>
      <x:c r="I13" s="9" t="n">
        <x:v>90.4</x:v>
      </x:c>
      <x:c r="J13" s="9" t="n">
        <x:v>-4.17</x:v>
      </x:c>
      <x:c r="K13" s="9" t="n">
        <x:v>9.47</x:v>
      </x:c>
      <x:c r="L13" s="3" t="str">
        <x:v>Liquid non-stable USDT pairs: volume &gt;= 10M; up/down threshold +/-1.5%; active logarithmic range threshold 3.0%; quiet active breadth threshold 35%; median direction threshold +/-1.0%.</x:v>
      </x:c>
      <x:c r="M13" s="10" t="n">
        <x:v>668</x:v>
      </x:c>
      <x:c r="N13" s="3" t="str">
        <x:v>{"recorded_at": 1789055042, "environment": "production", "regime": "ACTIVE / WEAK", "expectation": "Broad selling pressure is elevated; new longs need caution.", "sample_size": 52, "up_pct": 7.7, "down_pct": 82.7, "active_pct": 90.4, "median_change_pct": -4.17, "median_range_pct": 9.47, "formula": "Liquid non-stable USDT pairs: volume &gt;= 10M; up/down threshold +/-1.5%; active logarithmic range threshold 3.0%; quiet active breadth threshold 35%; median direction threshold +/-1.0%."}</x:v>
      </x:c>
    </x:row>
    <x:row r="14" ht="21" customHeight="1">
      <x:c r="A14" s="8" t="n">
        <x:v>46275.79131944444</x:v>
      </x:c>
      <x:c r="B14" s="10" t="n">
        <x:v>1789055970</x:v>
      </x:c>
      <x:c r="C14" s="3" t="str">
        <x:v>production</x:v>
      </x:c>
      <x:c r="D14" s="3" t="str">
        <x:v>ACTIVE / WEAK</x:v>
      </x:c>
      <x:c r="E14" s="3" t="str">
        <x:v>Broad selling pressure is elevated; new longs need caution.</x:v>
      </x:c>
      <x:c r="F14" s="10" t="n">
        <x:v>52</x:v>
      </x:c>
      <x:c r="G14" s="9" t="n">
        <x:v>5.8</x:v>
      </x:c>
      <x:c r="H14" s="9" t="n">
        <x:v>82.7</x:v>
      </x:c>
      <x:c r="I14" s="9" t="n">
        <x:v>90.4</x:v>
      </x:c>
      <x:c r="J14" s="9" t="n">
        <x:v>-4.25</x:v>
      </x:c>
      <x:c r="K14" s="9" t="n">
        <x:v>9.4</x:v>
      </x:c>
      <x:c r="L14" s="3" t="str">
        <x:v>Liquid non-stable USDT pairs: volume &gt;= 10M; up/down threshold +/-1.5%; active logarithmic range threshold 3.0%; quiet active breadth threshold 35%; median direction threshold +/-1.0%.</x:v>
      </x:c>
      <x:c r="M14" s="10" t="n">
        <x:v>669</x:v>
      </x:c>
      <x:c r="N14" s="3" t="str">
        <x:v>{"recorded_at": 1789055970, "environment": "production", "regime": "ACTIVE / WEAK", "expectation": "Broad selling pressure is elevated; new longs need caution.", "sample_size": 52, "up_pct": 5.8, "down_pct": 82.7, "active_pct": 90.4, "median_change_pct": -4.25, "median_range_pct": 9.4, "formula": "Liquid non-stable USDT pairs: volume &gt;= 10M; up/down threshold +/-1.5%; active logarithmic range threshold 3.0%; quiet active breadth threshold 35%; median direction threshold +/-1.0%."}</x:v>
      </x:c>
    </x:row>
    <x:row r="15" ht="21" customHeight="1">
      <x:c r="A15" s="8" t="n">
        <x:v>46275.80175925926</x:v>
      </x:c>
      <x:c r="B15" s="10" t="n">
        <x:v>1789056872</x:v>
      </x:c>
      <x:c r="C15" s="3" t="str">
        <x:v>production</x:v>
      </x:c>
      <x:c r="D15" s="3" t="str">
        <x:v>ACTIVE / WEAK</x:v>
      </x:c>
      <x:c r="E15" s="3" t="str">
        <x:v>Broad selling pressure is elevated; new longs need caution.</x:v>
      </x:c>
      <x:c r="F15" s="10" t="n">
        <x:v>52</x:v>
      </x:c>
      <x:c r="G15" s="9" t="n">
        <x:v>5.8</x:v>
      </x:c>
      <x:c r="H15" s="9" t="n">
        <x:v>82.7</x:v>
      </x:c>
      <x:c r="I15" s="9" t="n">
        <x:v>90.4</x:v>
      </x:c>
      <x:c r="J15" s="9" t="n">
        <x:v>-4.61</x:v>
      </x:c>
      <x:c r="K15" s="9" t="n">
        <x:v>9.32</x:v>
      </x:c>
      <x:c r="L15" s="3" t="str">
        <x:v>Liquid non-stable USDT pairs: volume &gt;= 10M; up/down threshold +/-1.5%; active logarithmic range threshold 3.0%; quiet active breadth threshold 35%; median direction threshold +/-1.0%.</x:v>
      </x:c>
      <x:c r="M15" s="10" t="n">
        <x:v>670</x:v>
      </x:c>
      <x:c r="N15" s="3" t="str">
        <x:v>{"recorded_at": 1789056872, "environment": "production", "regime": "ACTIVE / WEAK", "expectation": "Broad selling pressure is elevated; new longs need caution.", "sample_size": 52, "up_pct": 5.8, "down_pct": 82.7, "active_pct": 90.4, "median_change_pct": -4.61, "median_range_pct": 9.32, "formula": "Liquid non-stable USDT pairs: volume &gt;= 10M; up/down threshold +/-1.5%; active logarithmic range threshold 3.0%; quiet active breadth threshold 35%; median direction threshold +/-1.0%."}</x:v>
      </x:c>
    </x:row>
    <x:row r="16" ht="21" customHeight="1">
      <x:c r="A16" s="8" t="n">
        <x:v>46275.81236111111</x:v>
      </x:c>
      <x:c r="B16" s="10" t="n">
        <x:v>1789057788</x:v>
      </x:c>
      <x:c r="C16" s="3" t="str">
        <x:v>production</x:v>
      </x:c>
      <x:c r="D16" s="3" t="str">
        <x:v>ACTIVE / WEAK</x:v>
      </x:c>
      <x:c r="E16" s="3" t="str">
        <x:v>Broad selling pressure is elevated; new longs need caution.</x:v>
      </x:c>
      <x:c r="F16" s="10" t="n">
        <x:v>52</x:v>
      </x:c>
      <x:c r="G16" s="9" t="n">
        <x:v>7.7</x:v>
      </x:c>
      <x:c r="H16" s="9" t="n">
        <x:v>82.7</x:v>
      </x:c>
      <x:c r="I16" s="9" t="n">
        <x:v>90.4</x:v>
      </x:c>
      <x:c r="J16" s="9" t="n">
        <x:v>-4.84</x:v>
      </x:c>
      <x:c r="K16" s="9" t="n">
        <x:v>9.52</x:v>
      </x:c>
      <x:c r="L16" s="3" t="str">
        <x:v>Liquid non-stable USDT pairs: volume &gt;= 10M; up/down threshold +/-1.5%; active logarithmic range threshold 3.0%; quiet active breadth threshold 35%; median direction threshold +/-1.0%.</x:v>
      </x:c>
      <x:c r="M16" s="10" t="n">
        <x:v>671</x:v>
      </x:c>
      <x:c r="N16" s="3" t="str">
        <x:v>{"recorded_at": 1789057788, "environment": "production", "regime": "ACTIVE / WEAK", "expectation": "Broad selling pressure is elevated; new longs need caution.", "sample_size": 52, "up_pct": 7.7, "down_pct": 82.7, "active_pct": 90.4, "median_change_pct": -4.84, "median_range_pct": 9.52, "formula": "Liquid non-stable USDT pairs: volume &gt;= 10M; up/down threshold +/-1.5%; active logarithmic range threshold 3.0%; quiet active breadth threshold 35%; median direction threshold +/-1.0%."}</x:v>
      </x:c>
    </x:row>
    <x:row r="17" ht="21" customHeight="1">
      <x:c r="A17" s="8" t="n">
        <x:v>46275.82293981482</x:v>
      </x:c>
      <x:c r="B17" s="10" t="n">
        <x:v>1789058702</x:v>
      </x:c>
      <x:c r="C17" s="3" t="str">
        <x:v>production</x:v>
      </x:c>
      <x:c r="D17" s="3" t="str">
        <x:v>ACTIVE / WEAK</x:v>
      </x:c>
      <x:c r="E17" s="3" t="str">
        <x:v>Broad selling pressure is elevated; new longs need caution.</x:v>
      </x:c>
      <x:c r="F17" s="10" t="n">
        <x:v>52</x:v>
      </x:c>
      <x:c r="G17" s="9" t="n">
        <x:v>7.7</x:v>
      </x:c>
      <x:c r="H17" s="9" t="n">
        <x:v>82.7</x:v>
      </x:c>
      <x:c r="I17" s="9" t="n">
        <x:v>90.4</x:v>
      </x:c>
      <x:c r="J17" s="9" t="n">
        <x:v>-5.27</x:v>
      </x:c>
      <x:c r="K17" s="9" t="n">
        <x:v>9.59</x:v>
      </x:c>
      <x:c r="L17" s="3" t="str">
        <x:v>Liquid non-stable USDT pairs: volume &gt;= 10M; up/down threshold +/-1.5%; active logarithmic range threshold 3.0%; quiet active breadth threshold 35%; median direction threshold +/-1.0%.</x:v>
      </x:c>
      <x:c r="M17" s="10" t="n">
        <x:v>672</x:v>
      </x:c>
      <x:c r="N17" s="3" t="str">
        <x:v>{"recorded_at": 1789058702, "environment": "production", "regime": "ACTIVE / WEAK", "expectation": "Broad selling pressure is elevated; new longs need caution.", "sample_size": 52, "up_pct": 7.7, "down_pct": 82.7, "active_pct": 90.4, "median_change_pct": -5.27, "median_range_pct": 9.59, "formula": "Liquid non-stable USDT pairs: volume &gt;= 10M; up/down threshold +/-1.5%; active logarithmic range threshold 3.0%; quiet active breadth threshold 35%; median direction threshold +/-1.0%."}</x:v>
      </x:c>
    </x:row>
    <x:row r="18" ht="21" customHeight="1">
      <x:c r="A18" s="8" t="n">
        <x:v>46275.8334837963</x:v>
      </x:c>
      <x:c r="B18" s="10" t="n">
        <x:v>1789059613</x:v>
      </x:c>
      <x:c r="C18" s="3" t="str">
        <x:v>production</x:v>
      </x:c>
      <x:c r="D18" s="3" t="str">
        <x:v>ACTIVE / WEAK</x:v>
      </x:c>
      <x:c r="E18" s="3" t="str">
        <x:v>Broad selling pressure is elevated; new longs need caution.</x:v>
      </x:c>
      <x:c r="F18" s="10" t="n">
        <x:v>52</x:v>
      </x:c>
      <x:c r="G18" s="9" t="n">
        <x:v>5.8</x:v>
      </x:c>
      <x:c r="H18" s="9" t="n">
        <x:v>84.6</x:v>
      </x:c>
      <x:c r="I18" s="9" t="n">
        <x:v>90.4</x:v>
      </x:c>
      <x:c r="J18" s="9" t="n">
        <x:v>-4.76</x:v>
      </x:c>
      <x:c r="K18" s="9" t="n">
        <x:v>9.59</x:v>
      </x:c>
      <x:c r="L18" s="3" t="str">
        <x:v>Liquid non-stable USDT pairs: volume &gt;= 10M; up/down threshold +/-1.5%; active logarithmic range threshold 3.0%; quiet active breadth threshold 35%; median direction threshold +/-1.0%.</x:v>
      </x:c>
      <x:c r="M18" s="10" t="n">
        <x:v>673</x:v>
      </x:c>
      <x:c r="N18" s="3" t="str">
        <x:v>{"recorded_at": 1789059613, "environment": "production", "regime": "ACTIVE / WEAK", "expectation": "Broad selling pressure is elevated; new longs need caution.", "sample_size": 52, "up_pct": 5.8, "down_pct": 84.6, "active_pct": 90.4, "median_change_pct": -4.76, "median_range_pct": 9.59, "formula": "Liquid non-stable USDT pairs: volume &gt;= 10M; up/down threshold +/-1.5%; active logarithmic range threshold 3.0%; quiet active breadth threshold 35%; median direction threshold +/-1.0%."}</x:v>
      </x:c>
    </x:row>
    <x:row r="19" ht="21" customHeight="1">
      <x:c r="A19" s="8" t="n">
        <x:v>46275.84407407408</x:v>
      </x:c>
      <x:c r="B19" s="10" t="n">
        <x:v>1789060528</x:v>
      </x:c>
      <x:c r="C19" s="3" t="str">
        <x:v>production</x:v>
      </x:c>
      <x:c r="D19" s="3" t="str">
        <x:v>ACTIVE / WEAK</x:v>
      </x:c>
      <x:c r="E19" s="3" t="str">
        <x:v>Broad selling pressure is elevated; new longs need caution.</x:v>
      </x:c>
      <x:c r="F19" s="10" t="n">
        <x:v>52</x:v>
      </x:c>
      <x:c r="G19" s="9" t="n">
        <x:v>7.7</x:v>
      </x:c>
      <x:c r="H19" s="9" t="n">
        <x:v>82.7</x:v>
      </x:c>
      <x:c r="I19" s="9" t="n">
        <x:v>90.4</x:v>
      </x:c>
      <x:c r="J19" s="9" t="n">
        <x:v>-4.69</x:v>
      </x:c>
      <x:c r="K19" s="9" t="n">
        <x:v>9.59</x:v>
      </x:c>
      <x:c r="L19" s="3" t="str">
        <x:v>Liquid non-stable USDT pairs: volume &gt;= 10M; up/down threshold +/-1.5%; active logarithmic range threshold 3.0%; quiet active breadth threshold 35%; median direction threshold +/-1.0%.</x:v>
      </x:c>
      <x:c r="M19" s="10" t="n">
        <x:v>674</x:v>
      </x:c>
      <x:c r="N19" s="3" t="str">
        <x:v>{"recorded_at": 1789060528, "environment": "production", "regime": "ACTIVE / WEAK", "expectation": "Broad selling pressure is elevated; new longs need caution.", "sample_size": 52, "up_pct": 7.7, "down_pct": 82.7, "active_pct": 90.4, "median_change_pct": -4.69, "median_range_pct": 9.59, "formula": "Liquid non-stable USDT pairs: volume &gt;= 10M; up/down threshold +/-1.5%; active logarithmic range threshold 3.0%; quiet active breadth threshold 35%; median direction threshold +/-1.0%."}</x:v>
      </x:c>
    </x:row>
    <x:row r="20" ht="21" customHeight="1">
      <x:c r="A20" s="8" t="n">
        <x:v>46275.854837962965</x:v>
      </x:c>
      <x:c r="B20" s="10" t="n">
        <x:v>1789061458</x:v>
      </x:c>
      <x:c r="C20" s="3" t="str">
        <x:v>production</x:v>
      </x:c>
      <x:c r="D20" s="3" t="str">
        <x:v>ACTIVE / WEAK</x:v>
      </x:c>
      <x:c r="E20" s="3" t="str">
        <x:v>Broad selling pressure is elevated; new longs need caution.</x:v>
      </x:c>
      <x:c r="F20" s="10" t="n">
        <x:v>52</x:v>
      </x:c>
      <x:c r="G20" s="9" t="n">
        <x:v>7.7</x:v>
      </x:c>
      <x:c r="H20" s="9" t="n">
        <x:v>82.7</x:v>
      </x:c>
      <x:c r="I20" s="9" t="n">
        <x:v>90.4</x:v>
      </x:c>
      <x:c r="J20" s="9" t="n">
        <x:v>-4.67</x:v>
      </x:c>
      <x:c r="K20" s="9" t="n">
        <x:v>9.56</x:v>
      </x:c>
      <x:c r="L20" s="3" t="str">
        <x:v>Liquid non-stable USDT pairs: volume &gt;= 10M; up/down threshold +/-1.5%; active logarithmic range threshold 3.0%; quiet active breadth threshold 35%; median direction threshold +/-1.0%.</x:v>
      </x:c>
      <x:c r="M20" s="10" t="n">
        <x:v>675</x:v>
      </x:c>
      <x:c r="N20" s="3" t="str">
        <x:v>{"recorded_at": 1789061458, "environment": "production", "regime": "ACTIVE / WEAK", "expectation": "Broad selling pressure is elevated; new longs need caution.", "sample_size": 52, "up_pct": 7.7, "down_pct": 82.7, "active_pct": 90.4, "median_change_pct": -4.67, "median_range_pct": 9.56, "formula": "Liquid non-stable USDT pairs: volume &gt;= 10M; up/down threshold +/-1.5%; active logarithmic range threshold 3.0%; quiet active breadth threshold 35%; median direction threshold +/-1.0%."}</x:v>
      </x:c>
    </x:row>
    <x:row r="21" ht="21" customHeight="1">
      <x:c r="A21" s="8" t="n">
        <x:v>46275.86540509259</x:v>
      </x:c>
      <x:c r="B21" s="10" t="n">
        <x:v>1789062371</x:v>
      </x:c>
      <x:c r="C21" s="3" t="str">
        <x:v>production</x:v>
      </x:c>
      <x:c r="D21" s="3" t="str">
        <x:v>ACTIVE / WEAK</x:v>
      </x:c>
      <x:c r="E21" s="3" t="str">
        <x:v>Broad selling pressure is elevated; new longs need caution.</x:v>
      </x:c>
      <x:c r="F21" s="10" t="n">
        <x:v>51</x:v>
      </x:c>
      <x:c r="G21" s="9" t="n">
        <x:v>7.8</x:v>
      </x:c>
      <x:c r="H21" s="9" t="n">
        <x:v>80.4</x:v>
      </x:c>
      <x:c r="I21" s="9" t="n">
        <x:v>90.2</x:v>
      </x:c>
      <x:c r="J21" s="9" t="n">
        <x:v>-4.18</x:v>
      </x:c>
      <x:c r="K21" s="9" t="n">
        <x:v>9.31</x:v>
      </x:c>
      <x:c r="L21" s="3" t="str">
        <x:v>Liquid non-stable USDT pairs: volume &gt;= 10M; up/down threshold +/-1.5%; active logarithmic range threshold 3.0%; quiet active breadth threshold 35%; median direction threshold +/-1.0%.</x:v>
      </x:c>
      <x:c r="M21" s="10" t="n">
        <x:v>676</x:v>
      </x:c>
      <x:c r="N21" s="3" t="str">
        <x:v>{"recorded_at": 1789062371, "environment": "production", "regime": "ACTIVE / WEAK", "expectation": "Broad selling pressure is elevated; new longs need caution.", "sample_size": 51, "up_pct": 7.8, "down_pct": 80.4, "active_pct": 90.2, "median_change_pct": -4.18, "median_range_pct": 9.31, "formula": "Liquid non-stable USDT pairs: volume &gt;= 10M; up/down threshold +/-1.5%; active logarithmic range threshold 3.0%; quiet active breadth threshold 35%; median direction threshold +/-1.0%."}</x:v>
      </x:c>
    </x:row>
    <x:row r="22" ht="21" customHeight="1">
      <x:c r="A22" s="8" t="n">
        <x:v>46275.87609953704</x:v>
      </x:c>
      <x:c r="B22" s="10" t="n">
        <x:v>1789063295</x:v>
      </x:c>
      <x:c r="C22" s="3" t="str">
        <x:v>production</x:v>
      </x:c>
      <x:c r="D22" s="3" t="str">
        <x:v>ACTIVE / WEAK</x:v>
      </x:c>
      <x:c r="E22" s="3" t="str">
        <x:v>Broad selling pressure is elevated; new longs need caution.</x:v>
      </x:c>
      <x:c r="F22" s="10" t="n">
        <x:v>51</x:v>
      </x:c>
      <x:c r="G22" s="9" t="n">
        <x:v>7.8</x:v>
      </x:c>
      <x:c r="H22" s="9" t="n">
        <x:v>80.4</x:v>
      </x:c>
      <x:c r="I22" s="9" t="n">
        <x:v>90.2</x:v>
      </x:c>
      <x:c r="J22" s="9" t="n">
        <x:v>-4.13</x:v>
      </x:c>
      <x:c r="K22" s="9" t="n">
        <x:v>9.31</x:v>
      </x:c>
      <x:c r="L22" s="3" t="str">
        <x:v>Liquid non-stable USDT pairs: volume &gt;= 10M; up/down threshold +/-1.5%; active logarithmic range threshold 3.0%; quiet active breadth threshold 35%; median direction threshold +/-1.0%.</x:v>
      </x:c>
      <x:c r="M22" s="10" t="n">
        <x:v>677</x:v>
      </x:c>
      <x:c r="N22" s="3" t="str">
        <x:v>{"recorded_at": 1789063295, "environment": "production", "regime": "ACTIVE / WEAK", "expectation": "Broad selling pressure is elevated; new longs need caution.", "sample_size": 51, "up_pct": 7.8, "down_pct": 80.4, "active_pct": 90.2, "median_change_pct": -4.13, "median_range_pct": 9.31, "formula": "Liquid non-stable USDT pairs: volume &gt;= 10M; up/down threshold +/-1.5%; active logarithmic range threshold 3.0%; quiet active breadth threshold 35%; median direction threshold +/-1.0%."}</x:v>
      </x:c>
    </x:row>
    <x:row r="23" ht="21" customHeight="1">
      <x:c r="A23" s="8" t="n">
        <x:v>46275.8865625</x:v>
      </x:c>
      <x:c r="B23" s="10" t="n">
        <x:v>1789064199</x:v>
      </x:c>
      <x:c r="C23" s="3" t="str">
        <x:v>production</x:v>
      </x:c>
      <x:c r="D23" s="3" t="str">
        <x:v>ACTIVE / WEAK</x:v>
      </x:c>
      <x:c r="E23" s="3" t="str">
        <x:v>Broad selling pressure is elevated; new longs need caution.</x:v>
      </x:c>
      <x:c r="F23" s="10" t="n">
        <x:v>51</x:v>
      </x:c>
      <x:c r="G23" s="9" t="n">
        <x:v>7.8</x:v>
      </x:c>
      <x:c r="H23" s="9" t="n">
        <x:v>84.3</x:v>
      </x:c>
      <x:c r="I23" s="9" t="n">
        <x:v>90.2</x:v>
      </x:c>
      <x:c r="J23" s="9" t="n">
        <x:v>-4.74</x:v>
      </x:c>
      <x:c r="K23" s="9" t="n">
        <x:v>9.31</x:v>
      </x:c>
      <x:c r="L23" s="3" t="str">
        <x:v>Liquid non-stable USDT pairs: volume &gt;= 10M; up/down threshold +/-1.5%; active logarithmic range threshold 3.0%; quiet active breadth threshold 35%; median direction threshold +/-1.0%.</x:v>
      </x:c>
      <x:c r="M23" s="10" t="n">
        <x:v>678</x:v>
      </x:c>
      <x:c r="N23" s="3" t="str">
        <x:v>{"recorded_at": 1789064199, "environment": "production", "regime": "ACTIVE / WEAK", "expectation": "Broad selling pressure is elevated; new longs need caution.", "sample_size": 51, "up_pct": 7.8, "down_pct": 84.3, "active_pct": 90.2, "median_change_pct": -4.74, "median_range_pct": 9.31, "formula": "Liquid non-stable USDT pairs: volume &gt;= 10M; up/down threshold +/-1.5%; active logarithmic range threshold 3.0%; quiet active breadth threshold 35%; median direction threshold +/-1.0%."}</x:v>
      </x:c>
    </x:row>
    <x:row r="24" ht="21" customHeight="1">
      <x:c r="A24" s="8" t="n">
        <x:v>46275.89712962963</x:v>
      </x:c>
      <x:c r="B24" s="10" t="n">
        <x:v>1789065112</x:v>
      </x:c>
      <x:c r="C24" s="3" t="str">
        <x:v>production</x:v>
      </x:c>
      <x:c r="D24" s="3" t="str">
        <x:v>ACTIVE / WEAK</x:v>
      </x:c>
      <x:c r="E24" s="3" t="str">
        <x:v>Broad selling pressure is elevated; new longs need caution.</x:v>
      </x:c>
      <x:c r="F24" s="10" t="n">
        <x:v>51</x:v>
      </x:c>
      <x:c r="G24" s="9" t="n">
        <x:v>5.9</x:v>
      </x:c>
      <x:c r="H24" s="9" t="n">
        <x:v>84.3</x:v>
      </x:c>
      <x:c r="I24" s="9" t="n">
        <x:v>90.2</x:v>
      </x:c>
      <x:c r="J24" s="9" t="n">
        <x:v>-4.78</x:v>
      </x:c>
      <x:c r="K24" s="9" t="n">
        <x:v>9.31</x:v>
      </x:c>
      <x:c r="L24" s="3" t="str">
        <x:v>Liquid non-stable USDT pairs: volume &gt;= 10M; up/down threshold +/-1.5%; active logarithmic range threshold 3.0%; quiet active breadth threshold 35%; median direction threshold +/-1.0%.</x:v>
      </x:c>
      <x:c r="M24" s="10" t="n">
        <x:v>679</x:v>
      </x:c>
      <x:c r="N24" s="3" t="str">
        <x:v>{"recorded_at": 1789065112, "environment": "production", "regime": "ACTIVE / WEAK", "expectation": "Broad selling pressure is elevated; new longs need caution.", "sample_size": 51, "up_pct": 5.9, "down_pct": 84.3, "active_pct": 90.2, "median_change_pct": -4.78, "median_range_pct": 9.31, "formula": "Liquid non-stable USDT pairs: volume &gt;= 10M; up/down threshold +/-1.5%; active logarithmic range threshold 3.0%; quiet active breadth threshold 35%; median direction threshold +/-1.0%."}</x:v>
      </x:c>
    </x:row>
    <x:row r="25" ht="21" customHeight="1">
      <x:c r="A25" s="8" t="n">
        <x:v>46275.907858796294</x:v>
      </x:c>
      <x:c r="B25" s="10" t="n">
        <x:v>1789066039</x:v>
      </x:c>
      <x:c r="C25" s="3" t="str">
        <x:v>production</x:v>
      </x:c>
      <x:c r="D25" s="3" t="str">
        <x:v>ACTIVE / WEAK</x:v>
      </x:c>
      <x:c r="E25" s="3" t="str">
        <x:v>Broad selling pressure is elevated; new longs need caution.</x:v>
      </x:c>
      <x:c r="F25" s="10" t="n">
        <x:v>50</x:v>
      </x:c>
      <x:c r="G25" s="9" t="n">
        <x:v>8</x:v>
      </x:c>
      <x:c r="H25" s="9" t="n">
        <x:v>84</x:v>
      </x:c>
      <x:c r="I25" s="9" t="n">
        <x:v>90</x:v>
      </x:c>
      <x:c r="J25" s="9" t="n">
        <x:v>-4.35</x:v>
      </x:c>
      <x:c r="K25" s="9" t="n">
        <x:v>8.97</x:v>
      </x:c>
      <x:c r="L25" s="3" t="str">
        <x:v>Liquid non-stable USDT pairs: volume &gt;= 10M; up/down threshold +/-1.5%; active logarithmic range threshold 3.0%; quiet active breadth threshold 35%; median direction threshold +/-1.0%.</x:v>
      </x:c>
      <x:c r="M25" s="10" t="n">
        <x:v>680</x:v>
      </x:c>
      <x:c r="N25" s="3" t="str">
        <x:v>{"recorded_at": 1789066039, "environment": "production", "regime": "ACTIVE / WEAK", "expectation": "Broad selling pressure is elevated; new longs need caution.", "sample_size": 50, "up_pct": 8.0, "down_pct": 84.0, "active_pct": 90.0, "median_change_pct": -4.35, "median_range_pct": 8.97, "formula": "Liquid non-stable USDT pairs: volume &gt;= 10M; up/down threshold +/-1.5%; active logarithmic range threshold 3.0%; quiet active breadth threshold 35%; median direction threshold +/-1.0%."}</x:v>
      </x:c>
    </x:row>
    <x:row r="26" ht="21" customHeight="1">
      <x:c r="A26" s="8" t="n">
        <x:v>46275.91851851852</x:v>
      </x:c>
      <x:c r="B26" s="10" t="n">
        <x:v>1789066960</x:v>
      </x:c>
      <x:c r="C26" s="3" t="str">
        <x:v>production</x:v>
      </x:c>
      <x:c r="D26" s="3" t="str">
        <x:v>ACTIVE / WEAK</x:v>
      </x:c>
      <x:c r="E26" s="3" t="str">
        <x:v>Broad selling pressure is elevated; new longs need caution.</x:v>
      </x:c>
      <x:c r="F26" s="10" t="n">
        <x:v>49</x:v>
      </x:c>
      <x:c r="G26" s="9" t="n">
        <x:v>6.1</x:v>
      </x:c>
      <x:c r="H26" s="9" t="n">
        <x:v>81.6</x:v>
      </x:c>
      <x:c r="I26" s="9" t="n">
        <x:v>89.8</x:v>
      </x:c>
      <x:c r="J26" s="9" t="n">
        <x:v>-4.02</x:v>
      </x:c>
      <x:c r="K26" s="9" t="n">
        <x:v>8.71</x:v>
      </x:c>
      <x:c r="L26" s="3" t="str">
        <x:v>Liquid non-stable USDT pairs: volume &gt;= 10M; up/down threshold +/-1.5%; active logarithmic range threshold 3.0%; quiet active breadth threshold 35%; median direction threshold +/-1.0%.</x:v>
      </x:c>
      <x:c r="M26" s="10" t="n">
        <x:v>681</x:v>
      </x:c>
      <x:c r="N26" s="3" t="str">
        <x:v>{"recorded_at": 1789066960, "environment": "production", "regime": "ACTIVE / WEAK", "expectation": "Broad selling pressure is elevated; new longs need caution.", "sample_size": 49, "up_pct": 6.1, "down_pct": 81.6, "active_pct": 89.8, "median_change_pct": -4.02, "median_range_pct": 8.71, "formula": "Liquid non-stable USDT pairs: volume &gt;= 10M; up/down threshold +/-1.5%; active logarithmic range threshold 3.0%; quiet active breadth threshold 35%; median direction threshold +/-1.0%."}</x:v>
      </x:c>
    </x:row>
    <x:row r="27" ht="21" customHeight="1">
      <x:c r="A27" s="8" t="n">
        <x:v>46275.92927083333</x:v>
      </x:c>
      <x:c r="B27" s="10" t="n">
        <x:v>1789067889</x:v>
      </x:c>
      <x:c r="C27" s="3" t="str">
        <x:v>production</x:v>
      </x:c>
      <x:c r="D27" s="3" t="str">
        <x:v>ACTIVE / WEAK</x:v>
      </x:c>
      <x:c r="E27" s="3" t="str">
        <x:v>Broad selling pressure is elevated; new longs need caution.</x:v>
      </x:c>
      <x:c r="F27" s="10" t="n">
        <x:v>49</x:v>
      </x:c>
      <x:c r="G27" s="9" t="n">
        <x:v>8.2</x:v>
      </x:c>
      <x:c r="H27" s="9" t="n">
        <x:v>79.6</x:v>
      </x:c>
      <x:c r="I27" s="9" t="n">
        <x:v>89.8</x:v>
      </x:c>
      <x:c r="J27" s="9" t="n">
        <x:v>-3.56</x:v>
      </x:c>
      <x:c r="K27" s="9" t="n">
        <x:v>8.56</x:v>
      </x:c>
      <x:c r="L27" s="3" t="str">
        <x:v>Liquid non-stable USDT pairs: volume &gt;= 10M; up/down threshold +/-1.5%; active logarithmic range threshold 3.0%; quiet active breadth threshold 35%; median direction threshold +/-1.0%.</x:v>
      </x:c>
      <x:c r="M27" s="10" t="n">
        <x:v>682</x:v>
      </x:c>
      <x:c r="N27" s="3" t="str">
        <x:v>{"recorded_at": 1789067889, "environment": "production", "regime": "ACTIVE / WEAK", "expectation": "Broad selling pressure is elevated; new longs need caution.", "sample_size": 49, "up_pct": 8.2, "down_pct": 79.6, "active_pct": 89.8, "median_change_pct": -3.56, "median_range_pct": 8.56, "formula": "Liquid non-stable USDT pairs: volume &gt;= 10M; up/down threshold +/-1.5%; active logarithmic range threshold 3.0%; quiet active breadth threshold 35%; median direction threshold +/-1.0%."}</x:v>
      </x:c>
    </x:row>
    <x:row r="28" ht="21" customHeight="1">
      <x:c r="A28" s="8" t="n">
        <x:v>46275.93986111111</x:v>
      </x:c>
      <x:c r="B28" s="10" t="n">
        <x:v>1789068804</x:v>
      </x:c>
      <x:c r="C28" s="3" t="str">
        <x:v>production</x:v>
      </x:c>
      <x:c r="D28" s="3" t="str">
        <x:v>ACTIVE / WEAK</x:v>
      </x:c>
      <x:c r="E28" s="3" t="str">
        <x:v>Broad selling pressure is elevated; new longs need caution.</x:v>
      </x:c>
      <x:c r="F28" s="10" t="n">
        <x:v>49</x:v>
      </x:c>
      <x:c r="G28" s="9" t="n">
        <x:v>12.2</x:v>
      </x:c>
      <x:c r="H28" s="9" t="n">
        <x:v>79.6</x:v>
      </x:c>
      <x:c r="I28" s="9" t="n">
        <x:v>89.8</x:v>
      </x:c>
      <x:c r="J28" s="9" t="n">
        <x:v>-3.53</x:v>
      </x:c>
      <x:c r="K28" s="9" t="n">
        <x:v>7.89</x:v>
      </x:c>
      <x:c r="L28" s="3" t="str">
        <x:v>Liquid non-stable USDT pairs: volume &gt;= 10M; up/down threshold +/-1.5%; active logarithmic range threshold 3.0%; quiet active breadth threshold 35%; median direction threshold +/-1.0%.</x:v>
      </x:c>
      <x:c r="M28" s="10" t="n">
        <x:v>683</x:v>
      </x:c>
      <x:c r="N28" s="3" t="str">
        <x:v>{"recorded_at": 1789068804, "environment": "production", "regime": "ACTIVE / WEAK", "expectation": "Broad selling pressure is elevated; new longs need caution.", "sample_size": 49, "up_pct": 12.2, "down_pct": 79.6, "active_pct": 89.8, "median_change_pct": -3.53, "median_range_pct": 7.89, "formula": "Liquid non-stable USDT pairs: volume &gt;= 10M; up/down threshold +/-1.5%; active logarithmic range threshold 3.0%; quiet active breadth threshold 35%; median direction threshold +/-1.0%."}</x:v>
      </x:c>
    </x:row>
    <x:row r="29" ht="21" customHeight="1">
      <x:c r="A29" s="8" t="n">
        <x:v>46275.95049768518</x:v>
      </x:c>
      <x:c r="B29" s="10" t="n">
        <x:v>1789069723</x:v>
      </x:c>
      <x:c r="C29" s="3" t="str">
        <x:v>production</x:v>
      </x:c>
      <x:c r="D29" s="3" t="str">
        <x:v>ACTIVE / WEAK</x:v>
      </x:c>
      <x:c r="E29" s="3" t="str">
        <x:v>Broad selling pressure is elevated; new longs need caution.</x:v>
      </x:c>
      <x:c r="F29" s="10" t="n">
        <x:v>49</x:v>
      </x:c>
      <x:c r="G29" s="9" t="n">
        <x:v>10.2</x:v>
      </x:c>
      <x:c r="H29" s="9" t="n">
        <x:v>75.5</x:v>
      </x:c>
      <x:c r="I29" s="9" t="n">
        <x:v>89.8</x:v>
      </x:c>
      <x:c r="J29" s="9" t="n">
        <x:v>-3.17</x:v>
      </x:c>
      <x:c r="K29" s="9" t="n">
        <x:v>7.44</x:v>
      </x:c>
      <x:c r="L29" s="3" t="str">
        <x:v>Liquid non-stable USDT pairs: volume &gt;= 10M; up/down threshold +/-1.5%; active logarithmic range threshold 3.0%; quiet active breadth threshold 35%; median direction threshold +/-1.0%.</x:v>
      </x:c>
      <x:c r="M29" s="10" t="n">
        <x:v>684</x:v>
      </x:c>
      <x:c r="N29" s="3" t="str">
        <x:v>{"recorded_at": 1789069723, "environment": "production", "regime": "ACTIVE / WEAK", "expectation": "Broad selling pressure is elevated; new longs need caution.", "sample_size": 49, "up_pct": 10.2, "down_pct": 75.5, "active_pct": 89.8, "median_change_pct": -3.17, "median_range_pct": 7.44, "formula": "Liquid non-stable USDT pairs: volume &gt;= 10M; up/down threshold +/-1.5%; active logarithmic range threshold 3.0%; quiet active breadth threshold 35%; median direction threshold +/-1.0%."}</x:v>
      </x:c>
    </x:row>
    <x:row r="30" ht="21" customHeight="1">
      <x:c r="A30" s="8" t="n">
        <x:v>46275.96123842592</x:v>
      </x:c>
      <x:c r="B30" s="10" t="n">
        <x:v>1789070651</x:v>
      </x:c>
      <x:c r="C30" s="3" t="str">
        <x:v>production</x:v>
      </x:c>
      <x:c r="D30" s="3" t="str">
        <x:v>ACTIVE / WEAK</x:v>
      </x:c>
      <x:c r="E30" s="3" t="str">
        <x:v>Broad selling pressure is elevated; new longs need caution.</x:v>
      </x:c>
      <x:c r="F30" s="10" t="n">
        <x:v>49</x:v>
      </x:c>
      <x:c r="G30" s="9" t="n">
        <x:v>12.2</x:v>
      </x:c>
      <x:c r="H30" s="9" t="n">
        <x:v>73.5</x:v>
      </x:c>
      <x:c r="I30" s="9" t="n">
        <x:v>89.8</x:v>
      </x:c>
      <x:c r="J30" s="9" t="n">
        <x:v>-2.99</x:v>
      </x:c>
      <x:c r="K30" s="9" t="n">
        <x:v>7.39</x:v>
      </x:c>
      <x:c r="L30" s="3" t="str">
        <x:v>Liquid non-stable USDT pairs: volume &gt;= 10M; up/down threshold +/-1.5%; active logarithmic range threshold 3.0%; quiet active breadth threshold 35%; median direction threshold +/-1.0%.</x:v>
      </x:c>
      <x:c r="M30" s="10" t="n">
        <x:v>685</x:v>
      </x:c>
      <x:c r="N30" s="3" t="str">
        <x:v>{"recorded_at": 1789070651, "environment": "production", "regime": "ACTIVE / WEAK", "expectation": "Broad selling pressure is elevated; new longs need caution.", "sample_size": 49, "up_pct": 12.2, "down_pct": 73.5, "active_pct": 89.8, "median_change_pct": -2.99, "median_range_pct": 7.39, "formula": "Liquid non-stable USDT pairs: volume &gt;= 10M; up/down threshold +/-1.5%; active logarithmic range threshold 3.0%; quiet active breadth threshold 35%; median direction threshold +/-1.0%."}</x:v>
      </x:c>
    </x:row>
    <x:row r="31" ht="21" customHeight="1">
      <x:c r="A31" s="8" t="n">
        <x:v>46275.972025462965</x:v>
      </x:c>
      <x:c r="B31" s="10" t="n">
        <x:v>1789071583</x:v>
      </x:c>
      <x:c r="C31" s="3" t="str">
        <x:v>production</x:v>
      </x:c>
      <x:c r="D31" s="3" t="str">
        <x:v>ACTIVE / WEAK</x:v>
      </x:c>
      <x:c r="E31" s="3" t="str">
        <x:v>Broad selling pressure is elevated; new longs need caution.</x:v>
      </x:c>
      <x:c r="F31" s="10" t="n">
        <x:v>48</x:v>
      </x:c>
      <x:c r="G31" s="9" t="n">
        <x:v>14.6</x:v>
      </x:c>
      <x:c r="H31" s="9" t="n">
        <x:v>68.8</x:v>
      </x:c>
      <x:c r="I31" s="9" t="n">
        <x:v>89.6</x:v>
      </x:c>
      <x:c r="J31" s="9" t="n">
        <x:v>-2.74</x:v>
      </x:c>
      <x:c r="K31" s="9" t="n">
        <x:v>7.23</x:v>
      </x:c>
      <x:c r="L31" s="3" t="str">
        <x:v>Liquid non-stable USDT pairs: volume &gt;= 10M; up/down threshold +/-1.5%; active logarithmic range threshold 3.0%; quiet active breadth threshold 35%; median direction threshold +/-1.0%.</x:v>
      </x:c>
      <x:c r="M31" s="10" t="n">
        <x:v>686</x:v>
      </x:c>
      <x:c r="N31" s="3" t="str">
        <x:v>{"recorded_at": 1789071583, "environment": "production", "regime": "ACTIVE / WEAK", "expectation": "Broad selling pressure is elevated; new longs need caution.", "sample_size": 48, "up_pct": 14.6, "down_pct": 68.8, "active_pct": 89.6, "median_change_pct": -2.74, "median_range_pct": 7.23, "formula": "Liquid non-stable USDT pairs: volume &gt;= 10M; up/down threshold +/-1.5%; active logarithmic range threshold 3.0%; quiet active breadth threshold 35%; median direction threshold +/-1.0%."}</x:v>
      </x:c>
    </x:row>
    <x:row r="32" ht="21" customHeight="1">
      <x:c r="A32" s="8" t="n">
        <x:v>46275.98268518518</x:v>
      </x:c>
      <x:c r="B32" s="10" t="n">
        <x:v>1789072504</x:v>
      </x:c>
      <x:c r="C32" s="3" t="str">
        <x:v>production</x:v>
      </x:c>
      <x:c r="D32" s="3" t="str">
        <x:v>ACTIVE / WEAK</x:v>
      </x:c>
      <x:c r="E32" s="3" t="str">
        <x:v>Broad selling pressure is elevated; new longs need caution.</x:v>
      </x:c>
      <x:c r="F32" s="10" t="n">
        <x:v>48</x:v>
      </x:c>
      <x:c r="G32" s="9" t="n">
        <x:v>14.6</x:v>
      </x:c>
      <x:c r="H32" s="9" t="n">
        <x:v>70.8</x:v>
      </x:c>
      <x:c r="I32" s="9" t="n">
        <x:v>89.6</x:v>
      </x:c>
      <x:c r="J32" s="9" t="n">
        <x:v>-2.68</x:v>
      </x:c>
      <x:c r="K32" s="9" t="n">
        <x:v>7.23</x:v>
      </x:c>
      <x:c r="L32" s="3" t="str">
        <x:v>Liquid non-stable USDT pairs: volume &gt;= 10M; up/down threshold +/-1.5%; active logarithmic range threshold 3.0%; quiet active breadth threshold 35%; median direction threshold +/-1.0%.</x:v>
      </x:c>
      <x:c r="M32" s="10" t="n">
        <x:v>687</x:v>
      </x:c>
      <x:c r="N32" s="3" t="str">
        <x:v>{"recorded_at": 1789072504, "environment": "production", "regime": "ACTIVE / WEAK", "expectation": "Broad selling pressure is elevated; new longs need caution.", "sample_size": 48, "up_pct": 14.6, "down_pct": 70.8, "active_pct": 89.6, "median_change_pct": -2.68, "median_range_pct": 7.23, "formula": "Liquid non-stable USDT pairs: volume &gt;= 10M; up/down threshold +/-1.5%; active logarithmic range threshold 3.0%; quiet active breadth threshold 35%; median direction threshold +/-1.0%."}</x:v>
      </x:c>
    </x:row>
    <x:row r="33" ht="21" customHeight="1">
      <x:c r="A33" s="8" t="n">
        <x:v>46275.9934375</x:v>
      </x:c>
      <x:c r="B33" s="10" t="n">
        <x:v>1789073433</x:v>
      </x:c>
      <x:c r="C33" s="3" t="str">
        <x:v>production</x:v>
      </x:c>
      <x:c r="D33" s="3" t="str">
        <x:v>ACTIVE / WEAK</x:v>
      </x:c>
      <x:c r="E33" s="3" t="str">
        <x:v>Broad selling pressure is elevated; new longs need caution.</x:v>
      </x:c>
      <x:c r="F33" s="10" t="n">
        <x:v>48</x:v>
      </x:c>
      <x:c r="G33" s="9" t="n">
        <x:v>14.6</x:v>
      </x:c>
      <x:c r="H33" s="9" t="n">
        <x:v>68.8</x:v>
      </x:c>
      <x:c r="I33" s="9" t="n">
        <x:v>89.6</x:v>
      </x:c>
      <x:c r="J33" s="9" t="n">
        <x:v>-2.54</x:v>
      </x:c>
      <x:c r="K33" s="9" t="n">
        <x:v>7.09</x:v>
      </x:c>
      <x:c r="L33" s="3" t="str">
        <x:v>Liquid non-stable USDT pairs: volume &gt;= 10M; up/down threshold +/-1.5%; active logarithmic range threshold 3.0%; quiet active breadth threshold 35%; median direction threshold +/-1.0%.</x:v>
      </x:c>
      <x:c r="M33" s="10" t="n">
        <x:v>688</x:v>
      </x:c>
      <x:c r="N33" s="3" t="str">
        <x:v>{"recorded_at": 1789073433, "environment": "production", "regime": "ACTIVE / WEAK", "expectation": "Broad selling pressure is elevated; new longs need caution.", "sample_size": 48, "up_pct": 14.6, "down_pct": 68.8, "active_pct": 89.6, "median_change_pct": -2.54, "median_range_pct": 7.09, "formula": "Liquid non-stable USDT pairs: volume &gt;= 10M; up/down threshold +/-1.5%; active logarithmic range threshold 3.0%; quiet active breadth threshold 35%; median direction threshold +/-1.0%."}</x:v>
      </x:c>
    </x:row>
    <x:row r="34" ht="21" customHeight="1">
      <x:c r="A34" s="8" t="n">
        <x:v>46276.00386574074</x:v>
      </x:c>
      <x:c r="B34" s="10" t="n">
        <x:v>1789074334</x:v>
      </x:c>
      <x:c r="C34" s="3" t="str">
        <x:v>production</x:v>
      </x:c>
      <x:c r="D34" s="3" t="str">
        <x:v>ACTIVE / WEAK</x:v>
      </x:c>
      <x:c r="E34" s="3" t="str">
        <x:v>Broad selling pressure is elevated; new longs need caution.</x:v>
      </x:c>
      <x:c r="F34" s="10" t="n">
        <x:v>48</x:v>
      </x:c>
      <x:c r="G34" s="9" t="n">
        <x:v>14.6</x:v>
      </x:c>
      <x:c r="H34" s="9" t="n">
        <x:v>70.8</x:v>
      </x:c>
      <x:c r="I34" s="9" t="n">
        <x:v>89.6</x:v>
      </x:c>
      <x:c r="J34" s="9" t="n">
        <x:v>-2.8</x:v>
      </x:c>
      <x:c r="K34" s="9" t="n">
        <x:v>7.08</x:v>
      </x:c>
      <x:c r="L34" s="3" t="str">
        <x:v>Liquid non-stable USDT pairs: volume &gt;= 10M; up/down threshold +/-1.5%; active logarithmic range threshold 3.0%; quiet active breadth threshold 35%; median direction threshold +/-1.0%.</x:v>
      </x:c>
      <x:c r="M34" s="10" t="n">
        <x:v>689</x:v>
      </x:c>
      <x:c r="N34" s="3" t="str">
        <x:v>{"recorded_at": 1789074334, "environment": "production", "regime": "ACTIVE / WEAK", "expectation": "Broad selling pressure is elevated; new longs need caution.", "sample_size": 48, "up_pct": 14.6, "down_pct": 70.8, "active_pct": 89.6, "median_change_pct": -2.8, "median_range_pct": 7.08, "formula": "Liquid non-stable USDT pairs: volume &gt;= 10M; up/down threshold +/-1.5%; active logarithmic range threshold 3.0%; quiet active breadth threshold 35%; median direction threshold +/-1.0%."}</x:v>
      </x:c>
    </x:row>
    <x:row r="35" ht="21" customHeight="1">
      <x:c r="A35" s="8" t="n">
        <x:v>46276.01443287037</x:v>
      </x:c>
      <x:c r="B35" s="10" t="n">
        <x:v>1789075247</x:v>
      </x:c>
      <x:c r="C35" s="3" t="str">
        <x:v>production</x:v>
      </x:c>
      <x:c r="D35" s="3" t="str">
        <x:v>ACTIVE / WEAK</x:v>
      </x:c>
      <x:c r="E35" s="3" t="str">
        <x:v>Broad selling pressure is elevated; new longs need caution.</x:v>
      </x:c>
      <x:c r="F35" s="10" t="n">
        <x:v>48</x:v>
      </x:c>
      <x:c r="G35" s="9" t="n">
        <x:v>14.6</x:v>
      </x:c>
      <x:c r="H35" s="9" t="n">
        <x:v>70.8</x:v>
      </x:c>
      <x:c r="I35" s="9" t="n">
        <x:v>89.6</x:v>
      </x:c>
      <x:c r="J35" s="9" t="n">
        <x:v>-2.54</x:v>
      </x:c>
      <x:c r="K35" s="9" t="n">
        <x:v>7.02</x:v>
      </x:c>
      <x:c r="L35" s="3" t="str">
        <x:v>Liquid non-stable USDT pairs: volume &gt;= 10M; up/down threshold +/-1.5%; active logarithmic range threshold 3.0%; quiet active breadth threshold 35%; median direction threshold +/-1.0%.</x:v>
      </x:c>
      <x:c r="M35" s="10" t="n">
        <x:v>690</x:v>
      </x:c>
      <x:c r="N35" s="3" t="str">
        <x:v>{"recorded_at": 1789075247, "environment": "production", "regime": "ACTIVE / WEAK", "expectation": "Broad selling pressure is elevated; new longs need caution.", "sample_size": 48, "up_pct": 14.6, "down_pct": 70.8, "active_pct": 89.6, "median_change_pct": -2.54, "median_range_pct": 7.02, "formula": "Liquid non-stable USDT pairs: volume &gt;= 10M; up/down threshold +/-1.5%; active logarithmic range threshold 3.0%; quiet active breadth threshold 35%; median direction threshold +/-1.0%."}</x:v>
      </x:c>
    </x:row>
    <x:row r="36" ht="21" customHeight="1">
      <x:c r="A36" s="8" t="n">
        <x:v>46276.025046296294</x:v>
      </x:c>
      <x:c r="B36" s="10" t="n">
        <x:v>1789076164</x:v>
      </x:c>
      <x:c r="C36" s="3" t="str">
        <x:v>production</x:v>
      </x:c>
      <x:c r="D36" s="3" t="str">
        <x:v>ACTIVE / WEAK</x:v>
      </x:c>
      <x:c r="E36" s="3" t="str">
        <x:v>Broad selling pressure is elevated; new longs need caution.</x:v>
      </x:c>
      <x:c r="F36" s="10" t="n">
        <x:v>49</x:v>
      </x:c>
      <x:c r="G36" s="9" t="n">
        <x:v>14.3</x:v>
      </x:c>
      <x:c r="H36" s="9" t="n">
        <x:v>69.4</x:v>
      </x:c>
      <x:c r="I36" s="9" t="n">
        <x:v>89.8</x:v>
      </x:c>
      <x:c r="J36" s="9" t="n">
        <x:v>-2.48</x:v>
      </x:c>
      <x:c r="K36" s="9" t="n">
        <x:v>6.55</x:v>
      </x:c>
      <x:c r="L36" s="3" t="str">
        <x:v>Liquid non-stable USDT pairs: volume &gt;= 10M; up/down threshold +/-1.5%; active logarithmic range threshold 3.0%; quiet active breadth threshold 35%; median direction threshold +/-1.0%.</x:v>
      </x:c>
      <x:c r="M36" s="10" t="n">
        <x:v>691</x:v>
      </x:c>
      <x:c r="N36" s="3" t="str">
        <x:v>{"recorded_at": 1789076164, "environment": "production", "regime": "ACTIVE / WEAK", "expectation": "Broad selling pressure is elevated; new longs need caution.", "sample_size": 49, "up_pct": 14.3, "down_pct": 69.4, "active_pct": 89.8, "median_change_pct": -2.48, "median_range_pct": 6.55, "formula": "Liquid non-stable USDT pairs: volume &gt;= 10M; up/down threshold +/-1.5%; active logarithmic range threshold 3.0%; quiet active breadth threshold 35%; median direction threshold +/-1.0%."}</x:v>
      </x:c>
    </x:row>
    <x:row r="37" ht="21" customHeight="1">
      <x:c r="A37" s="8" t="n">
        <x:v>46276.03574074074</x:v>
      </x:c>
      <x:c r="B37" s="10" t="n">
        <x:v>1789077088</x:v>
      </x:c>
      <x:c r="C37" s="3" t="str">
        <x:v>production</x:v>
      </x:c>
      <x:c r="D37" s="3" t="str">
        <x:v>ACTIVE / WEAK</x:v>
      </x:c>
      <x:c r="E37" s="3" t="str">
        <x:v>Broad selling pressure is elevated; new longs need caution.</x:v>
      </x:c>
      <x:c r="F37" s="10" t="n">
        <x:v>49</x:v>
      </x:c>
      <x:c r="G37" s="9" t="n">
        <x:v>18.4</x:v>
      </x:c>
      <x:c r="H37" s="9" t="n">
        <x:v>65.3</x:v>
      </x:c>
      <x:c r="I37" s="9" t="n">
        <x:v>89.8</x:v>
      </x:c>
      <x:c r="J37" s="9" t="n">
        <x:v>-2.24</x:v>
      </x:c>
      <x:c r="K37" s="9" t="n">
        <x:v>6.55</x:v>
      </x:c>
      <x:c r="L37" s="3" t="str">
        <x:v>Liquid non-stable USDT pairs: volume &gt;= 10M; up/down threshold +/-1.5%; active logarithmic range threshold 3.0%; quiet active breadth threshold 35%; median direction threshold +/-1.0%.</x:v>
      </x:c>
      <x:c r="M37" s="10" t="n">
        <x:v>692</x:v>
      </x:c>
      <x:c r="N37" s="3" t="str">
        <x:v>{"recorded_at": 1789077088, "environment": "production", "regime": "ACTIVE / WEAK", "expectation": "Broad selling pressure is elevated; new longs need caution.", "sample_size": 49, "up_pct": 18.4, "down_pct": 65.3, "active_pct": 89.8, "median_change_pct": -2.24, "median_range_pct": 6.55, "formula": "Liquid non-stable USDT pairs: volume &gt;= 10M; up/down threshold +/-1.5%; active logarithmic range threshold 3.0%; quiet active breadth threshold 35%; median direction threshold +/-1.0%."}</x:v>
      </x:c>
    </x:row>
    <x:row r="38" ht="21" customHeight="1">
      <x:c r="A38" s="8" t="n">
        <x:v>46276.04622685185</x:v>
      </x:c>
      <x:c r="B38" s="10" t="n">
        <x:v>1789077994</x:v>
      </x:c>
      <x:c r="C38" s="3" t="str">
        <x:v>production</x:v>
      </x:c>
      <x:c r="D38" s="3" t="str">
        <x:v>ACTIVE / WEAK</x:v>
      </x:c>
      <x:c r="E38" s="3" t="str">
        <x:v>Broad selling pressure is elevated; new longs need caution.</x:v>
      </x:c>
      <x:c r="F38" s="10" t="n">
        <x:v>49</x:v>
      </x:c>
      <x:c r="G38" s="9" t="n">
        <x:v>18.4</x:v>
      </x:c>
      <x:c r="H38" s="9" t="n">
        <x:v>61.2</x:v>
      </x:c>
      <x:c r="I38" s="9" t="n">
        <x:v>89.8</x:v>
      </x:c>
      <x:c r="J38" s="9" t="n">
        <x:v>-1.92</x:v>
      </x:c>
      <x:c r="K38" s="9" t="n">
        <x:v>6.41</x:v>
      </x:c>
      <x:c r="L38" s="3" t="str">
        <x:v>Liquid non-stable USDT pairs: volume &gt;= 10M; up/down threshold +/-1.5%; active logarithmic range threshold 3.0%; quiet active breadth threshold 35%; median direction threshold +/-1.0%.</x:v>
      </x:c>
      <x:c r="M38" s="10" t="n">
        <x:v>693</x:v>
      </x:c>
      <x:c r="N38" s="3" t="str">
        <x:v>{"recorded_at": 1789077994, "environment": "production", "regime": "ACTIVE / WEAK", "expectation": "Broad selling pressure is elevated; new longs need caution.", "sample_size": 49, "up_pct": 18.4, "down_pct": 61.2, "active_pct": 89.8, "median_change_pct": -1.92, "median_range_pct": 6.41, "formula": "Liquid non-stable USDT pairs: volume &gt;= 10M; up/down threshold +/-1.5%; active logarithmic range threshold 3.0%; quiet active breadth threshold 35%; median direction threshold +/-1.0%."}</x:v>
      </x:c>
    </x:row>
    <x:row r="39" ht="21" customHeight="1">
      <x:c r="A39" s="8" t="n">
        <x:v>46276.056967592594</x:v>
      </x:c>
      <x:c r="B39" s="10" t="n">
        <x:v>1789078922</x:v>
      </x:c>
      <x:c r="C39" s="3" t="str">
        <x:v>production</x:v>
      </x:c>
      <x:c r="D39" s="3" t="str">
        <x:v>ACTIVE / WEAK</x:v>
      </x:c>
      <x:c r="E39" s="3" t="str">
        <x:v>Broad selling pressure is elevated; new longs need caution.</x:v>
      </x:c>
      <x:c r="F39" s="10" t="n">
        <x:v>49</x:v>
      </x:c>
      <x:c r="G39" s="9" t="n">
        <x:v>22.4</x:v>
      </x:c>
      <x:c r="H39" s="9" t="n">
        <x:v>55.1</x:v>
      </x:c>
      <x:c r="I39" s="9" t="n">
        <x:v>89.8</x:v>
      </x:c>
      <x:c r="J39" s="9" t="n">
        <x:v>-1.73</x:v>
      </x:c>
      <x:c r="K39" s="9" t="n">
        <x:v>6.22</x:v>
      </x:c>
      <x:c r="L39" s="3" t="str">
        <x:v>Liquid non-stable USDT pairs: volume &gt;= 10M; up/down threshold +/-1.5%; active logarithmic range threshold 3.0%; quiet active breadth threshold 35%; median direction threshold +/-1.0%.</x:v>
      </x:c>
      <x:c r="M39" s="10" t="n">
        <x:v>694</x:v>
      </x:c>
      <x:c r="N39" s="3" t="str">
        <x:v>{"recorded_at": 1789078922, "environment": "production", "regime": "ACTIVE / WEAK", "expectation": "Broad selling pressure is elevated; new longs need caution.", "sample_size": 49, "up_pct": 22.4, "down_pct": 55.1, "active_pct": 89.8, "median_change_pct": -1.73, "median_range_pct": 6.22, "formula": "Liquid non-stable USDT pairs: volume &gt;= 10M; up/down threshold +/-1.5%; active logarithmic range threshold 3.0%; quiet active breadth threshold 35%; median direction threshold +/-1.0%."}</x:v>
      </x:c>
    </x:row>
    <x:row r="40" ht="21" customHeight="1">
      <x:c r="A40" s="8" t="n">
        <x:v>46276.06765046297</x:v>
      </x:c>
      <x:c r="B40" s="10" t="n">
        <x:v>1789079845</x:v>
      </x:c>
      <x:c r="C40" s="3" t="str">
        <x:v>production</x:v>
      </x:c>
      <x:c r="D40" s="3" t="str">
        <x:v>ACTIVE / WEAK</x:v>
      </x:c>
      <x:c r="E40" s="3" t="str">
        <x:v>Broad selling pressure is elevated; new longs need caution.</x:v>
      </x:c>
      <x:c r="F40" s="10" t="n">
        <x:v>48</x:v>
      </x:c>
      <x:c r="G40" s="9" t="n">
        <x:v>20.8</x:v>
      </x:c>
      <x:c r="H40" s="9" t="n">
        <x:v>60.4</x:v>
      </x:c>
      <x:c r="I40" s="9" t="n">
        <x:v>89.6</x:v>
      </x:c>
      <x:c r="J40" s="9" t="n">
        <x:v>-1.88</x:v>
      </x:c>
      <x:c r="K40" s="9" t="n">
        <x:v>6.49</x:v>
      </x:c>
      <x:c r="L40" s="3" t="str">
        <x:v>Liquid non-stable USDT pairs: volume &gt;= 10M; up/down threshold +/-1.5%; active logarithmic range threshold 3.0%; quiet active breadth threshold 35%; median direction threshold +/-1.0%.</x:v>
      </x:c>
      <x:c r="M40" s="10" t="n">
        <x:v>695</x:v>
      </x:c>
      <x:c r="N40" s="3" t="str">
        <x:v>{"recorded_at": 1789079845, "environment": "production", "regime": "ACTIVE / WEAK", "expectation": "Broad selling pressure is elevated; new longs need caution.", "sample_size": 48, "up_pct": 20.8, "down_pct": 60.4, "active_pct": 89.6, "median_change_pct": -1.88, "median_range_pct": 6.49, "formula": "Liquid non-stable USDT pairs: volume &gt;= 10M; up/down threshold +/-1.5%; active logarithmic range threshold 3.0%; quiet active breadth threshold 35%; median direction threshold +/-1.0%."}</x:v>
      </x:c>
    </x:row>
    <x:row r="41" ht="21" customHeight="1">
      <x:c r="A41" s="8" t="n">
        <x:v>46276.07828703704</x:v>
      </x:c>
      <x:c r="B41" s="10" t="n">
        <x:v>1789080764</x:v>
      </x:c>
      <x:c r="C41" s="3" t="str">
        <x:v>production</x:v>
      </x:c>
      <x:c r="D41" s="3" t="str">
        <x:v>ACTIVE / WEAK</x:v>
      </x:c>
      <x:c r="E41" s="3" t="str">
        <x:v>Broad selling pressure is elevated; new longs need caution.</x:v>
      </x:c>
      <x:c r="F41" s="10" t="n">
        <x:v>47</x:v>
      </x:c>
      <x:c r="G41" s="9" t="n">
        <x:v>19.1</x:v>
      </x:c>
      <x:c r="H41" s="9" t="n">
        <x:v>59.6</x:v>
      </x:c>
      <x:c r="I41" s="9" t="n">
        <x:v>89.4</x:v>
      </x:c>
      <x:c r="J41" s="9" t="n">
        <x:v>-2.04</x:v>
      </x:c>
      <x:c r="K41" s="9" t="n">
        <x:v>6.22</x:v>
      </x:c>
      <x:c r="L41" s="3" t="str">
        <x:v>Liquid non-stable USDT pairs: volume &gt;= 10M; up/down threshold +/-1.5%; active logarithmic range threshold 3.0%; quiet active breadth threshold 35%; median direction threshold +/-1.0%.</x:v>
      </x:c>
      <x:c r="M41" s="10" t="n">
        <x:v>696</x:v>
      </x:c>
      <x:c r="N41" s="3" t="str">
        <x:v>{"recorded_at": 1789080764, "environment": "production", "regime": "ACTIVE / WEAK", "expectation": "Broad selling pressure is elevated; new longs need caution.", "sample_size": 47, "up_pct": 19.1, "down_pct": 59.6, "active_pct": 89.4, "median_change_pct": -2.04, "median_range_pct": 6.22, "formula": "Liquid non-stable USDT pairs: volume &gt;= 10M; up/down threshold +/-1.5%; active logarithmic range threshold 3.0%; quiet active breadth threshold 35%; median direction threshold +/-1.0%."}</x:v>
      </x:c>
    </x:row>
    <x:row r="42" ht="21" customHeight="1">
      <x:c r="A42" s="8" t="n">
        <x:v>46276.0796412037</x:v>
      </x:c>
      <x:c r="B42" s="10" t="n">
        <x:v>1789080881</x:v>
      </x:c>
      <x:c r="C42" s="3" t="str">
        <x:v>production</x:v>
      </x:c>
      <x:c r="D42" s="3" t="str">
        <x:v>ACTIVE / WEAK</x:v>
      </x:c>
      <x:c r="E42" s="3" t="str">
        <x:v>Broad selling pressure is elevated; new longs need caution.</x:v>
      </x:c>
      <x:c r="F42" s="10" t="n">
        <x:v>47</x:v>
      </x:c>
      <x:c r="G42" s="9" t="n">
        <x:v>19.1</x:v>
      </x:c>
      <x:c r="H42" s="9" t="n">
        <x:v>59.6</x:v>
      </x:c>
      <x:c r="I42" s="9" t="n">
        <x:v>89.4</x:v>
      </x:c>
      <x:c r="J42" s="9" t="n">
        <x:v>-1.91</x:v>
      </x:c>
      <x:c r="K42" s="9" t="n">
        <x:v>6.22</x:v>
      </x:c>
      <x:c r="L42" s="3" t="str">
        <x:v>Liquid non-stable USDT pairs: volume &gt;= 10M; up/down threshold +/-1.5%; active logarithmic range threshold 3.0%; quiet active breadth threshold 35%; median direction threshold +/-1.0%.</x:v>
      </x:c>
      <x:c r="M42" s="10" t="n">
        <x:v>697</x:v>
      </x:c>
      <x:c r="N42" s="3" t="str">
        <x:v>{"recorded_at": 1789080881, "environment": "production", "regime": "ACTIVE / WEAK", "expectation": "Broad selling pressure is elevated; new longs need caution.", "sample_size": 47, "up_pct": 19.1, "down_pct": 59.6, "active_pct": 89.4, "median_change_pct": -1.91, "median_range_pct": 6.22, "formula": "Liquid non-stable USDT pairs: volume &gt;= 10M; up/down threshold +/-1.5%; active logarithmic range threshold 3.0%; quiet active breadth threshold 35%; median direction threshold +/-1.0%."}</x:v>
      </x:c>
    </x:row>
    <x:row r="43" ht="21" customHeight="1">
      <x:c r="A43" s="8" t="n">
        <x:v>46276.081782407404</x:v>
      </x:c>
      <x:c r="B43" s="10" t="n">
        <x:v>1789081066</x:v>
      </x:c>
      <x:c r="C43" s="3" t="str">
        <x:v>production</x:v>
      </x:c>
      <x:c r="D43" s="3" t="str">
        <x:v>ACTIVE / WEAK</x:v>
      </x:c>
      <x:c r="E43" s="3" t="str">
        <x:v>Broad selling pressure is elevated; new longs need caution.</x:v>
      </x:c>
      <x:c r="F43" s="10" t="n">
        <x:v>47</x:v>
      </x:c>
      <x:c r="G43" s="9" t="n">
        <x:v>19.1</x:v>
      </x:c>
      <x:c r="H43" s="9" t="n">
        <x:v>55.3</x:v>
      </x:c>
      <x:c r="I43" s="9" t="n">
        <x:v>89.4</x:v>
      </x:c>
      <x:c r="J43" s="9" t="n">
        <x:v>-1.85</x:v>
      </x:c>
      <x:c r="K43" s="9" t="n">
        <x:v>6.22</x:v>
      </x:c>
      <x:c r="L43" s="3" t="str">
        <x:v>Liquid non-stable USDT pairs: volume &gt;= 10M; up/down threshold +/-1.5%; active logarithmic range threshold 3.0%; quiet active breadth threshold 35%; median direction threshold +/-1.0%.</x:v>
      </x:c>
      <x:c r="M43" s="10" t="n">
        <x:v>698</x:v>
      </x:c>
      <x:c r="N43" s="3" t="str">
        <x:v>{"recorded_at": 1789081066, "environment": "production", "regime": "ACTIVE / WEAK", "expectation": "Broad selling pressure is elevated; new longs need caution.", "sample_size": 47, "up_pct": 19.1, "down_pct": 55.3, "active_pct": 89.4, "median_change_pct": -1.85, "median_range_pct": 6.22, "formula": "Liquid non-stable USDT pairs: volume &gt;= 10M; up/down threshold +/-1.5%; active logarithmic range threshold 3.0%; quiet active breadth threshold 35%; median direction threshold +/-1.0%."}</x:v>
      </x:c>
    </x:row>
    <x:row r="44" ht="21" customHeight="1">
      <x:c r="A44" s="8" t="n">
        <x:v>46276.09229166667</x:v>
      </x:c>
      <x:c r="B44" s="10" t="n">
        <x:v>1789081974</x:v>
      </x:c>
      <x:c r="C44" s="3" t="str">
        <x:v>production</x:v>
      </x:c>
      <x:c r="D44" s="3" t="str">
        <x:v>ACTIVE / WEAK</x:v>
      </x:c>
      <x:c r="E44" s="3" t="str">
        <x:v>Broad selling pressure is elevated; new longs need caution.</x:v>
      </x:c>
      <x:c r="F44" s="10" t="n">
        <x:v>47</x:v>
      </x:c>
      <x:c r="G44" s="9" t="n">
        <x:v>14.9</x:v>
      </x:c>
      <x:c r="H44" s="9" t="n">
        <x:v>68.1</x:v>
      </x:c>
      <x:c r="I44" s="9" t="n">
        <x:v>89.4</x:v>
      </x:c>
      <x:c r="J44" s="9" t="n">
        <x:v>-2.84</x:v>
      </x:c>
      <x:c r="K44" s="9" t="n">
        <x:v>6.3</x:v>
      </x:c>
      <x:c r="L44" s="3" t="str">
        <x:v>Liquid non-stable USDT pairs: volume &gt;= 10M; up/down threshold +/-1.5%; active logarithmic range threshold 3.0%; quiet active breadth threshold 35%; median direction threshold +/-1.0%.</x:v>
      </x:c>
      <x:c r="M44" s="10" t="n">
        <x:v>699</x:v>
      </x:c>
      <x:c r="N44" s="3" t="str">
        <x:v>{"recorded_at": 1789081974, "environment": "production", "regime": "ACTIVE / WEAK", "expectation": "Broad selling pressure is elevated; new longs need caution.", "sample_size": 47, "up_pct": 14.9, "down_pct": 68.1, "active_pct": 89.4, "median_change_pct": -2.84, "median_range_pct": 6.3, "formula": "Liquid non-stable USDT pairs: volume &gt;= 10M; up/down threshold +/-1.5%; active logarithmic range threshold 3.0%; quiet active breadth threshold 35%; median direction threshold +/-1.0%."}</x:v>
      </x:c>
    </x:row>
    <x:row r="45" ht="21" customHeight="1">
      <x:c r="A45" s="8" t="n">
        <x:v>46276.10304398148</x:v>
      </x:c>
      <x:c r="B45" s="10" t="n">
        <x:v>1789082903</x:v>
      </x:c>
      <x:c r="C45" s="3" t="str">
        <x:v>production</x:v>
      </x:c>
      <x:c r="D45" s="3" t="str">
        <x:v>ACTIVE / WEAK</x:v>
      </x:c>
      <x:c r="E45" s="3" t="str">
        <x:v>Broad selling pressure is elevated; new longs need caution.</x:v>
      </x:c>
      <x:c r="F45" s="10" t="n">
        <x:v>47</x:v>
      </x:c>
      <x:c r="G45" s="9" t="n">
        <x:v>14.9</x:v>
      </x:c>
      <x:c r="H45" s="9" t="n">
        <x:v>68.1</x:v>
      </x:c>
      <x:c r="I45" s="9" t="n">
        <x:v>89.4</x:v>
      </x:c>
      <x:c r="J45" s="9" t="n">
        <x:v>-2.64</x:v>
      </x:c>
      <x:c r="K45" s="9" t="n">
        <x:v>6.57</x:v>
      </x:c>
      <x:c r="L45" s="3" t="str">
        <x:v>Liquid non-stable USDT pairs: volume &gt;= 10M; up/down threshold +/-1.5%; active logarithmic range threshold 3.0%; quiet active breadth threshold 35%; median direction threshold +/-1.0%.</x:v>
      </x:c>
      <x:c r="M45" s="10" t="n">
        <x:v>700</x:v>
      </x:c>
      <x:c r="N45" s="3" t="str">
        <x:v>{"recorded_at": 1789082903, "environment": "production", "regime": "ACTIVE / WEAK", "expectation": "Broad selling pressure is elevated; new longs need caution.", "sample_size": 47, "up_pct": 14.9, "down_pct": 68.1, "active_pct": 89.4, "median_change_pct": -2.64, "median_range_pct": 6.57, "formula": "Liquid non-stable USDT pairs: volume &gt;= 10M; up/down threshold +/-1.5%; active logarithmic range threshold 3.0%; quiet active breadth threshold 35%; median direction threshold +/-1.0%."}</x:v>
      </x:c>
    </x:row>
    <x:row r="46" ht="21" customHeight="1">
      <x:c r="A46" s="8" t="n">
        <x:v>46276.11366898148</x:v>
      </x:c>
      <x:c r="B46" s="10" t="n">
        <x:v>1789083821</x:v>
      </x:c>
      <x:c r="C46" s="3" t="str">
        <x:v>production</x:v>
      </x:c>
      <x:c r="D46" s="3" t="str">
        <x:v>ACTIVE / WEAK</x:v>
      </x:c>
      <x:c r="E46" s="3" t="str">
        <x:v>Broad selling pressure is elevated; new longs need caution.</x:v>
      </x:c>
      <x:c r="F46" s="10" t="n">
        <x:v>47</x:v>
      </x:c>
      <x:c r="G46" s="9" t="n">
        <x:v>14.9</x:v>
      </x:c>
      <x:c r="H46" s="9" t="n">
        <x:v>72.3</x:v>
      </x:c>
      <x:c r="I46" s="9" t="n">
        <x:v>89.4</x:v>
      </x:c>
      <x:c r="J46" s="9" t="n">
        <x:v>-3.06</x:v>
      </x:c>
      <x:c r="K46" s="9" t="n">
        <x:v>6.57</x:v>
      </x:c>
      <x:c r="L46" s="3" t="str">
        <x:v>Liquid non-stable USDT pairs: volume &gt;= 10M; up/down threshold +/-1.5%; active logarithmic range threshold 3.0%; quiet active breadth threshold 35%; median direction threshold +/-1.0%.</x:v>
      </x:c>
      <x:c r="M46" s="10" t="n">
        <x:v>701</x:v>
      </x:c>
      <x:c r="N46" s="3" t="str">
        <x:v>{"recorded_at": 1789083821, "environment": "production", "regime": "ACTIVE / WEAK", "expectation": "Broad selling pressure is elevated; new longs need caution.", "sample_size": 47, "up_pct": 14.9, "down_pct": 72.3, "active_pct": 89.4, "median_change_pct": -3.06, "median_range_pct": 6.57, "formula": "Liquid non-stable USDT pairs: volume &gt;= 10M; up/down threshold +/-1.5%; active logarithmic range threshold 3.0%; quiet active breadth threshold 35%; median direction threshold +/-1.0%."}</x:v>
      </x:c>
    </x:row>
    <x:row r="47" ht="21" customHeight="1">
      <x:c r="A47" s="8" t="n">
        <x:v>46276.124236111114</x:v>
      </x:c>
      <x:c r="B47" s="10" t="n">
        <x:v>1789084734</x:v>
      </x:c>
      <x:c r="C47" s="3" t="str">
        <x:v>production</x:v>
      </x:c>
      <x:c r="D47" s="3" t="str">
        <x:v>ACTIVE / WEAK</x:v>
      </x:c>
      <x:c r="E47" s="3" t="str">
        <x:v>Broad selling pressure is elevated; new longs need caution.</x:v>
      </x:c>
      <x:c r="F47" s="10" t="n">
        <x:v>47</x:v>
      </x:c>
      <x:c r="G47" s="9" t="n">
        <x:v>14.9</x:v>
      </x:c>
      <x:c r="H47" s="9" t="n">
        <x:v>74.5</x:v>
      </x:c>
      <x:c r="I47" s="9" t="n">
        <x:v>89.4</x:v>
      </x:c>
      <x:c r="J47" s="9" t="n">
        <x:v>-3.35</x:v>
      </x:c>
      <x:c r="K47" s="9" t="n">
        <x:v>6.44</x:v>
      </x:c>
      <x:c r="L47" s="3" t="str">
        <x:v>Liquid non-stable USDT pairs: volume &gt;= 10M; up/down threshold +/-1.5%; active logarithmic range threshold 3.0%; quiet active breadth threshold 35%; median direction threshold +/-1.0%.</x:v>
      </x:c>
      <x:c r="M47" s="10" t="n">
        <x:v>702</x:v>
      </x:c>
      <x:c r="N47" s="3" t="str">
        <x:v>{"recorded_at": 1789084734, "environment": "production", "regime": "ACTIVE / WEAK", "expectation": "Broad selling pressure is elevated; new longs need caution.", "sample_size": 47, "up_pct": 14.9, "down_pct": 74.5, "active_pct": 89.4, "median_change_pct": -3.35, "median_range_pct": 6.44, "formula": "Liquid non-stable USDT pairs: volume &gt;= 10M; up/down threshold +/-1.5%; active logarithmic range threshold 3.0%; quiet active breadth threshold 35%; median direction threshold +/-1.0%."}</x:v>
      </x:c>
    </x:row>
    <x:row r="48" ht="21" customHeight="1">
      <x:c r="A48" s="8" t="n">
        <x:v>46276.135046296295</x:v>
      </x:c>
      <x:c r="B48" s="10" t="n">
        <x:v>1789085668</x:v>
      </x:c>
      <x:c r="C48" s="3" t="str">
        <x:v>production</x:v>
      </x:c>
      <x:c r="D48" s="3" t="str">
        <x:v>ACTIVE / WEAK</x:v>
      </x:c>
      <x:c r="E48" s="3" t="str">
        <x:v>Broad selling pressure is elevated; new longs need caution.</x:v>
      </x:c>
      <x:c r="F48" s="10" t="n">
        <x:v>47</x:v>
      </x:c>
      <x:c r="G48" s="9" t="n">
        <x:v>12.8</x:v>
      </x:c>
      <x:c r="H48" s="9" t="n">
        <x:v>72.3</x:v>
      </x:c>
      <x:c r="I48" s="9" t="n">
        <x:v>89.4</x:v>
      </x:c>
      <x:c r="J48" s="9" t="n">
        <x:v>-2.94</x:v>
      </x:c>
      <x:c r="K48" s="9" t="n">
        <x:v>6.38</x:v>
      </x:c>
      <x:c r="L48" s="3" t="str">
        <x:v>Liquid non-stable USDT pairs: volume &gt;= 10M; up/down threshold +/-1.5%; active logarithmic range threshold 3.0%; quiet active breadth threshold 35%; median direction threshold +/-1.0%.</x:v>
      </x:c>
      <x:c r="M48" s="10" t="n">
        <x:v>703</x:v>
      </x:c>
      <x:c r="N48" s="3" t="str">
        <x:v>{"recorded_at": 1789085668, "environment": "production", "regime": "ACTIVE / WEAK", "expectation": "Broad selling pressure is elevated; new longs need caution.", "sample_size": 47, "up_pct": 12.8, "down_pct": 72.3, "active_pct": 89.4, "median_change_pct": -2.94, "median_range_pct": 6.38, "formula": "Liquid non-stable USDT pairs: volume &gt;= 10M; up/down threshold +/-1.5%; active logarithmic range threshold 3.0%; quiet active breadth threshold 35%; median direction threshold +/-1.0%."}</x:v>
      </x:c>
    </x:row>
    <x:row r="49" ht="21" customHeight="1">
      <x:c r="A49" s="8" t="n">
        <x:v>46276.145844907405</x:v>
      </x:c>
      <x:c r="B49" s="10" t="n">
        <x:v>1789086601</x:v>
      </x:c>
      <x:c r="C49" s="3" t="str">
        <x:v>production</x:v>
      </x:c>
      <x:c r="D49" s="3" t="str">
        <x:v>ACTIVE / WEAK</x:v>
      </x:c>
      <x:c r="E49" s="3" t="str">
        <x:v>Broad selling pressure is elevated; new longs need caution.</x:v>
      </x:c>
      <x:c r="F49" s="10" t="n">
        <x:v>47</x:v>
      </x:c>
      <x:c r="G49" s="9" t="n">
        <x:v>14.9</x:v>
      </x:c>
      <x:c r="H49" s="9" t="n">
        <x:v>59.6</x:v>
      </x:c>
      <x:c r="I49" s="9" t="n">
        <x:v>89.4</x:v>
      </x:c>
      <x:c r="J49" s="9" t="n">
        <x:v>-2.51</x:v>
      </x:c>
      <x:c r="K49" s="9" t="n">
        <x:v>6.38</x:v>
      </x:c>
      <x:c r="L49" s="3" t="str">
        <x:v>Liquid non-stable USDT pairs: volume &gt;= 10M; up/down threshold +/-1.5%; active logarithmic range threshold 3.0%; quiet active breadth threshold 35%; median direction threshold +/-1.0%.</x:v>
      </x:c>
      <x:c r="M49" s="10" t="n">
        <x:v>704</x:v>
      </x:c>
      <x:c r="N49" s="3" t="str">
        <x:v>{"recorded_at": 1789086601, "environment": "production", "regime": "ACTIVE / WEAK", "expectation": "Broad selling pressure is elevated; new longs need caution.", "sample_size": 47, "up_pct": 14.9, "down_pct": 59.6, "active_pct": 89.4, "median_change_pct": -2.51, "median_range_pct": 6.38, "formula": "Liquid non-stable USDT pairs: volume &gt;= 10M; up/down threshold +/-1.5%; active logarithmic range threshold 3.0%; quiet active breadth threshold 35%; median direction threshold +/-1.0%."}</x:v>
      </x:c>
    </x:row>
    <x:row r="50" ht="21" customHeight="1">
      <x:c r="A50" s="8" t="n">
        <x:v>46276.15641203704</x:v>
      </x:c>
      <x:c r="B50" s="10" t="n">
        <x:v>1789087514</x:v>
      </x:c>
      <x:c r="C50" s="3" t="str">
        <x:v>production</x:v>
      </x:c>
      <x:c r="D50" s="3" t="str">
        <x:v>ACTIVE / WEAK</x:v>
      </x:c>
      <x:c r="E50" s="3" t="str">
        <x:v>Broad selling pressure is elevated; new longs need caution.</x:v>
      </x:c>
      <x:c r="F50" s="10" t="n">
        <x:v>47</x:v>
      </x:c>
      <x:c r="G50" s="9" t="n">
        <x:v>12.8</x:v>
      </x:c>
      <x:c r="H50" s="9" t="n">
        <x:v>63.8</x:v>
      </x:c>
      <x:c r="I50" s="9" t="n">
        <x:v>89.4</x:v>
      </x:c>
      <x:c r="J50" s="9" t="n">
        <x:v>-2.35</x:v>
      </x:c>
      <x:c r="K50" s="9" t="n">
        <x:v>6.38</x:v>
      </x:c>
      <x:c r="L50" s="3" t="str">
        <x:v>Liquid non-stable USDT pairs: volume &gt;= 10M; up/down threshold +/-1.5%; active logarithmic range threshold 3.0%; quiet active breadth threshold 35%; median direction threshold +/-1.0%.</x:v>
      </x:c>
      <x:c r="M50" s="10" t="n">
        <x:v>705</x:v>
      </x:c>
      <x:c r="N50" s="3" t="str">
        <x:v>{"recorded_at": 1789087514, "environment": "production", "regime": "ACTIVE / WEAK", "expectation": "Broad selling pressure is elevated; new longs need caution.", "sample_size": 47, "up_pct": 12.8, "down_pct": 63.8, "active_pct": 89.4, "median_change_pct": -2.35, "median_range_pct": 6.38, "formula": "Liquid non-stable USDT pairs: volume &gt;= 10M; up/down threshold +/-1.5%; active logarithmic range threshold 3.0%; quiet active breadth threshold 35%; median direction threshold +/-1.0%."}</x:v>
      </x:c>
    </x:row>
    <x:row r="51" ht="21" customHeight="1">
      <x:c r="A51" s="8" t="n">
        <x:v>46276.166875</x:v>
      </x:c>
      <x:c r="B51" s="10" t="n">
        <x:v>1789088418</x:v>
      </x:c>
      <x:c r="C51" s="3" t="str">
        <x:v>production</x:v>
      </x:c>
      <x:c r="D51" s="3" t="str">
        <x:v>ACTIVE / WEAK</x:v>
      </x:c>
      <x:c r="E51" s="3" t="str">
        <x:v>Broad selling pressure is elevated; new longs need caution.</x:v>
      </x:c>
      <x:c r="F51" s="10" t="n">
        <x:v>47</x:v>
      </x:c>
      <x:c r="G51" s="9" t="n">
        <x:v>17</x:v>
      </x:c>
      <x:c r="H51" s="9" t="n">
        <x:v>63.8</x:v>
      </x:c>
      <x:c r="I51" s="9" t="n">
        <x:v>89.4</x:v>
      </x:c>
      <x:c r="J51" s="9" t="n">
        <x:v>-1.83</x:v>
      </x:c>
      <x:c r="K51" s="9" t="n">
        <x:v>6.38</x:v>
      </x:c>
      <x:c r="L51" s="3" t="str">
        <x:v>Liquid non-stable USDT pairs: volume &gt;= 10M; up/down threshold +/-1.5%; active logarithmic range threshold 3.0%; quiet active breadth threshold 35%; median direction threshold +/-1.0%.</x:v>
      </x:c>
      <x:c r="M51" s="10" t="n">
        <x:v>706</x:v>
      </x:c>
      <x:c r="N51" s="3" t="str">
        <x:v>{"recorded_at": 1789088418, "environment": "production", "regime": "ACTIVE / WEAK", "expectation": "Broad selling pressure is elevated; new longs need caution.", "sample_size": 47, "up_pct": 17.0, "down_pct": 63.8, "active_pct": 89.4, "median_change_pct": -1.83, "median_range_pct": 6.38, "formula": "Liquid non-stable USDT pairs: volume &gt;= 10M; up/down threshold +/-1.5%; active logarithmic range threshold 3.0%; quiet active breadth threshold 35%; median direction threshold +/-1.0%."}</x:v>
      </x:c>
    </x:row>
    <x:row r="52" ht="21" customHeight="1">
      <x:c r="A52" s="8" t="n">
        <x:v>46276.17736111111</x:v>
      </x:c>
      <x:c r="B52" s="10" t="n">
        <x:v>1789089324</x:v>
      </x:c>
      <x:c r="C52" s="3" t="str">
        <x:v>production</x:v>
      </x:c>
      <x:c r="D52" s="3" t="str">
        <x:v>ACTIVE / WEAK</x:v>
      </x:c>
      <x:c r="E52" s="3" t="str">
        <x:v>Broad selling pressure is elevated; new longs need caution.</x:v>
      </x:c>
      <x:c r="F52" s="10" t="n">
        <x:v>46</x:v>
      </x:c>
      <x:c r="G52" s="9" t="n">
        <x:v>10.9</x:v>
      </x:c>
      <x:c r="H52" s="9" t="n">
        <x:v>69.6</x:v>
      </x:c>
      <x:c r="I52" s="9" t="n">
        <x:v>87</x:v>
      </x:c>
      <x:c r="J52" s="9" t="n">
        <x:v>-2.64</x:v>
      </x:c>
      <x:c r="K52" s="9" t="n">
        <x:v>6.17</x:v>
      </x:c>
      <x:c r="L52" s="3" t="str">
        <x:v>Liquid non-stable USDT pairs: volume &gt;= 10M; up/down threshold +/-1.5%; active logarithmic range threshold 3.0%; quiet active breadth threshold 35%; median direction threshold +/-1.0%.</x:v>
      </x:c>
      <x:c r="M52" s="10" t="n">
        <x:v>707</x:v>
      </x:c>
      <x:c r="N52" s="3" t="str">
        <x:v>{"recorded_at": 1789089324, "environment": "production", "regime": "ACTIVE / WEAK", "expectation": "Broad selling pressure is elevated; new longs need caution.", "sample_size": 46, "up_pct": 10.9, "down_pct": 69.6, "active_pct": 87.0, "median_change_pct": -2.64, "median_range_pct": 6.17, "formula": "Liquid non-stable USDT pairs: volume &gt;= 10M; up/down threshold +/-1.5%; active logarithmic range threshold 3.0%; quiet active breadth threshold 35%; median direction threshold +/-1.0%."}</x:v>
      </x:c>
    </x:row>
    <x:row r="53" ht="21" customHeight="1">
      <x:c r="A53" s="8" t="n">
        <x:v>46276.18796296296</x:v>
      </x:c>
      <x:c r="B53" s="10" t="n">
        <x:v>1789090240</x:v>
      </x:c>
      <x:c r="C53" s="3" t="str">
        <x:v>production</x:v>
      </x:c>
      <x:c r="D53" s="3" t="str">
        <x:v>ACTIVE / WEAK</x:v>
      </x:c>
      <x:c r="E53" s="3" t="str">
        <x:v>Broad selling pressure is elevated; new longs need caution.</x:v>
      </x:c>
      <x:c r="F53" s="10" t="n">
        <x:v>46</x:v>
      </x:c>
      <x:c r="G53" s="9" t="n">
        <x:v>10.9</x:v>
      </x:c>
      <x:c r="H53" s="9" t="n">
        <x:v>67.4</x:v>
      </x:c>
      <x:c r="I53" s="9" t="n">
        <x:v>87</x:v>
      </x:c>
      <x:c r="J53" s="9" t="n">
        <x:v>-2.3</x:v>
      </x:c>
      <x:c r="K53" s="9" t="n">
        <x:v>6.14</x:v>
      </x:c>
      <x:c r="L53" s="3" t="str">
        <x:v>Liquid non-stable USDT pairs: volume &gt;= 10M; up/down threshold +/-1.5%; active logarithmic range threshold 3.0%; quiet active breadth threshold 35%; median direction threshold +/-1.0%.</x:v>
      </x:c>
      <x:c r="M53" s="10" t="n">
        <x:v>708</x:v>
      </x:c>
      <x:c r="N53" s="3" t="str">
        <x:v>{"recorded_at": 1789090240, "environment": "production", "regime": "ACTIVE / WEAK", "expectation": "Broad selling pressure is elevated; new longs need caution.", "sample_size": 46, "up_pct": 10.9, "down_pct": 67.4, "active_pct": 87.0, "median_change_pct": -2.3, "median_range_pct": 6.14, "formula": "Liquid non-stable USDT pairs: volume &gt;= 10M; up/down threshold +/-1.5%; active logarithmic range threshold 3.0%; quiet active breadth threshold 35%; median direction threshold +/-1.0%."}</x:v>
      </x:c>
    </x:row>
    <x:row r="54" ht="21" customHeight="1">
      <x:c r="A54" s="8" t="n">
        <x:v>46276.1908912037</x:v>
      </x:c>
      <x:c r="B54" s="10" t="n">
        <x:v>1789090493</x:v>
      </x:c>
      <x:c r="C54" s="3" t="str">
        <x:v>production</x:v>
      </x:c>
      <x:c r="D54" s="3" t="str">
        <x:v>ACTIVE / WEAK</x:v>
      </x:c>
      <x:c r="E54" s="3" t="str">
        <x:v>Broad selling pressure is elevated; new longs need caution.</x:v>
      </x:c>
      <x:c r="F54" s="10" t="n">
        <x:v>46</x:v>
      </x:c>
      <x:c r="G54" s="9" t="n">
        <x:v>10.9</x:v>
      </x:c>
      <x:c r="H54" s="9" t="n">
        <x:v>67.4</x:v>
      </x:c>
      <x:c r="I54" s="9" t="n">
        <x:v>87</x:v>
      </x:c>
      <x:c r="J54" s="9" t="n">
        <x:v>-2.18</x:v>
      </x:c>
      <x:c r="K54" s="9" t="n">
        <x:v>5.96</x:v>
      </x:c>
      <x:c r="L54" s="3" t="str">
        <x:v>Liquid non-stable USDT pairs: volume &gt;= 10M; up/down threshold +/-1.5%; active logarithmic range threshold 3.0%; quiet active breadth threshold 35%; median direction threshold +/-1.0%.</x:v>
      </x:c>
      <x:c r="M54" s="10" t="n">
        <x:v>709</x:v>
      </x:c>
      <x:c r="N54" s="3" t="str">
        <x:v>{"recorded_at": 1789090493, "environment": "production", "regime": "ACTIVE / WEAK", "expectation": "Broad selling pressure is elevated; new longs need caution.", "sample_size": 46, "up_pct": 10.9, "down_pct": 67.4, "active_pct": 87.0, "median_change_pct": -2.18, "median_range_pct": 5.96, "formula": "Liquid non-stable USDT pairs: volume &gt;= 10M; up/down threshold +/-1.5%; active logarithmic range threshold 3.0%; quiet active breadth threshold 35%; median direction threshold +/-1.0%."}</x:v>
      </x:c>
    </x:row>
    <x:row r="55" ht="21" customHeight="1">
      <x:c r="A55" s="8" t="n">
        <x:v>46276.201631944445</x:v>
      </x:c>
      <x:c r="B55" s="10" t="n">
        <x:v>1789091421</x:v>
      </x:c>
      <x:c r="C55" s="3" t="str">
        <x:v>production</x:v>
      </x:c>
      <x:c r="D55" s="3" t="str">
        <x:v>ACTIVE / WEAK</x:v>
      </x:c>
      <x:c r="E55" s="3" t="str">
        <x:v>Broad selling pressure is elevated; new longs need caution.</x:v>
      </x:c>
      <x:c r="F55" s="10" t="n">
        <x:v>45</x:v>
      </x:c>
      <x:c r="G55" s="9" t="n">
        <x:v>11.1</x:v>
      </x:c>
      <x:c r="H55" s="9" t="n">
        <x:v>60</x:v>
      </x:c>
      <x:c r="I55" s="9" t="n">
        <x:v>86.7</x:v>
      </x:c>
      <x:c r="J55" s="9" t="n">
        <x:v>-1.84</x:v>
      </x:c>
      <x:c r="K55" s="9" t="n">
        <x:v>5.97</x:v>
      </x:c>
      <x:c r="L55" s="3" t="str">
        <x:v>Liquid non-stable USDT pairs: volume &gt;= 10M; up/down threshold +/-1.5%; active logarithmic range threshold 3.0%; quiet active breadth threshold 35%; median direction threshold +/-1.0%.</x:v>
      </x:c>
      <x:c r="M55" s="10" t="n">
        <x:v>710</x:v>
      </x:c>
      <x:c r="N55" s="3" t="str">
        <x:v>{"recorded_at": 1789091421, "environment": "production", "regime": "ACTIVE / WEAK", "expectation": "Broad selling pressure is elevated; new longs need caution.", "sample_size": 45, "up_pct": 11.1, "down_pct": 60.0, "active_pct": 86.7, "median_change_pct": -1.84, "median_range_pct": 5.97, "formula": "Liquid non-stable USDT pairs: volume &gt;= 10M; up/down threshold +/-1.5%; active logarithmic range threshold 3.0%; quiet active breadth threshold 35%; median direction threshold +/-1.0%."}</x:v>
      </x:c>
    </x:row>
    <x:row r="56" ht="21" customHeight="1">
      <x:c r="A56" s="8" t="n">
        <x:v>46276.212326388886</x:v>
      </x:c>
      <x:c r="B56" s="10" t="n">
        <x:v>1789092345</x:v>
      </x:c>
      <x:c r="C56" s="3" t="str">
        <x:v>production</x:v>
      </x:c>
      <x:c r="D56" s="3" t="str">
        <x:v>ACTIVE / WEAK</x:v>
      </x:c>
      <x:c r="E56" s="3" t="str">
        <x:v>Broad selling pressure is elevated; new longs need caution.</x:v>
      </x:c>
      <x:c r="F56" s="10" t="n">
        <x:v>45</x:v>
      </x:c>
      <x:c r="G56" s="9" t="n">
        <x:v>11.1</x:v>
      </x:c>
      <x:c r="H56" s="9" t="n">
        <x:v>60</x:v>
      </x:c>
      <x:c r="I56" s="9" t="n">
        <x:v>86.7</x:v>
      </x:c>
      <x:c r="J56" s="9" t="n">
        <x:v>-1.79</x:v>
      </x:c>
      <x:c r="K56" s="9" t="n">
        <x:v>5.97</x:v>
      </x:c>
      <x:c r="L56" s="3" t="str">
        <x:v>Liquid non-stable USDT pairs: volume &gt;= 10M; up/down threshold +/-1.5%; active logarithmic range threshold 3.0%; quiet active breadth threshold 35%; median direction threshold +/-1.0%.</x:v>
      </x:c>
      <x:c r="M56" s="10" t="n">
        <x:v>711</x:v>
      </x:c>
      <x:c r="N56" s="3" t="str">
        <x:v>{"recorded_at": 1789092345, "environment": "production", "regime": "ACTIVE / WEAK", "expectation": "Broad selling pressure is elevated; new longs need caution.", "sample_size": 45, "up_pct": 11.1, "down_pct": 60.0, "active_pct": 86.7, "median_change_pct": -1.79, "median_range_pct": 5.97, "formula": "Liquid non-stable USDT pairs: volume &gt;= 10M; up/down threshold +/-1.5%; active logarithmic range threshold 3.0%; quiet active breadth threshold 35%; median direction threshold +/-1.0%."}</x:v>
      </x:c>
    </x:row>
    <x:row r="57" ht="21" customHeight="1">
      <x:c r="A57" s="8" t="n">
        <x:v>46276.22288194444</x:v>
      </x:c>
      <x:c r="B57" s="10" t="n">
        <x:v>1789093257</x:v>
      </x:c>
      <x:c r="C57" s="3" t="str">
        <x:v>production</x:v>
      </x:c>
      <x:c r="D57" s="3" t="str">
        <x:v>ACTIVE / WEAK</x:v>
      </x:c>
      <x:c r="E57" s="3" t="str">
        <x:v>Broad selling pressure is elevated; new longs need caution.</x:v>
      </x:c>
      <x:c r="F57" s="10" t="n">
        <x:v>45</x:v>
      </x:c>
      <x:c r="G57" s="9" t="n">
        <x:v>11.1</x:v>
      </x:c>
      <x:c r="H57" s="9" t="n">
        <x:v>64.4</x:v>
      </x:c>
      <x:c r="I57" s="9" t="n">
        <x:v>86.7</x:v>
      </x:c>
      <x:c r="J57" s="9" t="n">
        <x:v>-2.01</x:v>
      </x:c>
      <x:c r="K57" s="9" t="n">
        <x:v>5.97</x:v>
      </x:c>
      <x:c r="L57" s="3" t="str">
        <x:v>Liquid non-stable USDT pairs: volume &gt;= 10M; up/down threshold +/-1.5%; active logarithmic range threshold 3.0%; quiet active breadth threshold 35%; median direction threshold +/-1.0%.</x:v>
      </x:c>
      <x:c r="M57" s="10" t="n">
        <x:v>712</x:v>
      </x:c>
      <x:c r="N57" s="3" t="str">
        <x:v>{"recorded_at": 1789093257, "environment": "production", "regime": "ACTIVE / WEAK", "expectation": "Broad selling pressure is elevated; new longs need caution.", "sample_size": 45, "up_pct": 11.1, "down_pct": 64.4, "active_pct": 86.7, "median_change_pct": -2.01, "median_range_pct": 5.97, "formula": "Liquid non-stable USDT pairs: volume &gt;= 10M; up/down threshold +/-1.5%; active logarithmic range threshold 3.0%; quiet active breadth threshold 35%; median direction threshold +/-1.0%."}</x:v>
      </x:c>
    </x:row>
    <x:row r="58" ht="21" customHeight="1">
      <x:c r="A58" s="8" t="n">
        <x:v>46276.23339120371</x:v>
      </x:c>
      <x:c r="B58" s="10" t="n">
        <x:v>1789094165</x:v>
      </x:c>
      <x:c r="C58" s="3" t="str">
        <x:v>production</x:v>
      </x:c>
      <x:c r="D58" s="3" t="str">
        <x:v>ACTIVE / WEAK</x:v>
      </x:c>
      <x:c r="E58" s="3" t="str">
        <x:v>Broad selling pressure is elevated; new longs need caution.</x:v>
      </x:c>
      <x:c r="F58" s="10" t="n">
        <x:v>45</x:v>
      </x:c>
      <x:c r="G58" s="9" t="n">
        <x:v>11.1</x:v>
      </x:c>
      <x:c r="H58" s="9" t="n">
        <x:v>73.3</x:v>
      </x:c>
      <x:c r="I58" s="9" t="n">
        <x:v>86.7</x:v>
      </x:c>
      <x:c r="J58" s="9" t="n">
        <x:v>-2.82</x:v>
      </x:c>
      <x:c r="K58" s="9" t="n">
        <x:v>5.97</x:v>
      </x:c>
      <x:c r="L58" s="3" t="str">
        <x:v>Liquid non-stable USDT pairs: volume &gt;= 10M; up/down threshold +/-1.5%; active logarithmic range threshold 3.0%; quiet active breadth threshold 35%; median direction threshold +/-1.0%.</x:v>
      </x:c>
      <x:c r="M58" s="10" t="n">
        <x:v>713</x:v>
      </x:c>
      <x:c r="N58" s="3" t="str">
        <x:v>{"recorded_at": 1789094165, "environment": "production", "regime": "ACTIVE / WEAK", "expectation": "Broad selling pressure is elevated; new longs need caution.", "sample_size": 45, "up_pct": 11.1, "down_pct": 73.3, "active_pct": 86.7, "median_change_pct": -2.82, "median_range_pct": 5.97, "formula": "Liquid non-stable USDT pairs: volume &gt;= 10M; up/down threshold +/-1.5%; active logarithmic range threshold 3.0%; quiet active breadth threshold 35%; median direction threshold +/-1.0%."}</x:v>
      </x:c>
    </x:row>
    <x:row r="59" ht="21" customHeight="1">
      <x:c r="A59" s="8" t="n">
        <x:v>46276.24381944445</x:v>
      </x:c>
      <x:c r="B59" s="10" t="n">
        <x:v>1789095066</x:v>
      </x:c>
      <x:c r="C59" s="3" t="str">
        <x:v>production</x:v>
      </x:c>
      <x:c r="D59" s="3" t="str">
        <x:v>ACTIVE / WEAK</x:v>
      </x:c>
      <x:c r="E59" s="3" t="str">
        <x:v>Broad selling pressure is elevated; new longs need caution.</x:v>
      </x:c>
      <x:c r="F59" s="10" t="n">
        <x:v>45</x:v>
      </x:c>
      <x:c r="G59" s="9" t="n">
        <x:v>11.1</x:v>
      </x:c>
      <x:c r="H59" s="9" t="n">
        <x:v>73.3</x:v>
      </x:c>
      <x:c r="I59" s="9" t="n">
        <x:v>86.7</x:v>
      </x:c>
      <x:c r="J59" s="9" t="n">
        <x:v>-2.8</x:v>
      </x:c>
      <x:c r="K59" s="9" t="n">
        <x:v>5.97</x:v>
      </x:c>
      <x:c r="L59" s="3" t="str">
        <x:v>Liquid non-stable USDT pairs: volume &gt;= 10M; up/down threshold +/-1.5%; active logarithmic range threshold 3.0%; quiet active breadth threshold 35%; median direction threshold +/-1.0%.</x:v>
      </x:c>
      <x:c r="M59" s="10" t="n">
        <x:v>714</x:v>
      </x:c>
      <x:c r="N59" s="3" t="str">
        <x:v>{"recorded_at": 1789095066, "environment": "production", "regime": "ACTIVE / WEAK", "expectation": "Broad selling pressure is elevated; new longs need caution.", "sample_size": 45, "up_pct": 11.1, "down_pct": 73.3, "active_pct": 86.7, "median_change_pct": -2.8, "median_range_pct": 5.97, "formula": "Liquid non-stable USDT pairs: volume &gt;= 10M; up/down threshold +/-1.5%; active logarithmic range threshold 3.0%; quiet active breadth threshold 35%; median direction threshold +/-1.0%."}</x:v>
      </x:c>
    </x:row>
    <x:row r="60" ht="21" customHeight="1">
      <x:c r="A60" s="8" t="n">
        <x:v>46276.254282407404</x:v>
      </x:c>
      <x:c r="B60" s="10" t="n">
        <x:v>1789095970</x:v>
      </x:c>
      <x:c r="C60" s="3" t="str">
        <x:v>production</x:v>
      </x:c>
      <x:c r="D60" s="3" t="str">
        <x:v>ACTIVE / WEAK</x:v>
      </x:c>
      <x:c r="E60" s="3" t="str">
        <x:v>Broad selling pressure is elevated; new longs need caution.</x:v>
      </x:c>
      <x:c r="F60" s="10" t="n">
        <x:v>45</x:v>
      </x:c>
      <x:c r="G60" s="9" t="n">
        <x:v>11.1</x:v>
      </x:c>
      <x:c r="H60" s="9" t="n">
        <x:v>75.6</x:v>
      </x:c>
      <x:c r="I60" s="9" t="n">
        <x:v>86.7</x:v>
      </x:c>
      <x:c r="J60" s="9" t="n">
        <x:v>-3.29</x:v>
      </x:c>
      <x:c r="K60" s="9" t="n">
        <x:v>5.97</x:v>
      </x:c>
      <x:c r="L60" s="3" t="str">
        <x:v>Liquid non-stable USDT pairs: volume &gt;= 10M; up/down threshold +/-1.5%; active logarithmic range threshold 3.0%; quiet active breadth threshold 35%; median direction threshold +/-1.0%.</x:v>
      </x:c>
      <x:c r="M60" s="10" t="n">
        <x:v>715</x:v>
      </x:c>
      <x:c r="N60" s="3" t="str">
        <x:v>{"recorded_at": 1789095970, "environment": "production", "regime": "ACTIVE / WEAK", "expectation": "Broad selling pressure is elevated; new longs need caution.", "sample_size": 45, "up_pct": 11.1, "down_pct": 75.6, "active_pct": 86.7, "median_change_pct": -3.29, "median_range_pct": 5.97, "formula": "Liquid non-stable USDT pairs: volume &gt;= 10M; up/down threshold +/-1.5%; active logarithmic range threshold 3.0%; quiet active breadth threshold 35%; median direction threshold +/-1.0%."}</x:v>
      </x:c>
    </x:row>
    <x:row r="61" ht="21" customHeight="1">
      <x:c r="A61" s="8" t="n">
        <x:v>46276.265011574076</x:v>
      </x:c>
      <x:c r="B61" s="10" t="n">
        <x:v>1789096897</x:v>
      </x:c>
      <x:c r="C61" s="3" t="str">
        <x:v>production</x:v>
      </x:c>
      <x:c r="D61" s="3" t="str">
        <x:v>ACTIVE / WEAK</x:v>
      </x:c>
      <x:c r="E61" s="3" t="str">
        <x:v>Broad selling pressure is elevated; new longs need caution.</x:v>
      </x:c>
      <x:c r="F61" s="10" t="n">
        <x:v>44</x:v>
      </x:c>
      <x:c r="G61" s="9" t="n">
        <x:v>11.4</x:v>
      </x:c>
      <x:c r="H61" s="9" t="n">
        <x:v>72.7</x:v>
      </x:c>
      <x:c r="I61" s="9" t="n">
        <x:v>84.1</x:v>
      </x:c>
      <x:c r="J61" s="9" t="n">
        <x:v>-3.45</x:v>
      </x:c>
      <x:c r="K61" s="9" t="n">
        <x:v>6.17</x:v>
      </x:c>
      <x:c r="L61" s="3" t="str">
        <x:v>Liquid non-stable USDT pairs: volume &gt;= 10M; up/down threshold +/-1.5%; active logarithmic range threshold 3.0%; quiet active breadth threshold 35%; median direction threshold +/-1.0%.</x:v>
      </x:c>
      <x:c r="M61" s="10" t="n">
        <x:v>716</x:v>
      </x:c>
      <x:c r="N61" s="3" t="str">
        <x:v>{"recorded_at": 1789096897, "environment": "production", "regime": "ACTIVE / WEAK", "expectation": "Broad selling pressure is elevated; new longs need caution.", "sample_size": 44, "up_pct": 11.4, "down_pct": 72.7, "active_pct": 84.1, "median_change_pct": -3.45, "median_range_pct": 6.17, "formula": "Liquid non-stable USDT pairs: volume &gt;= 10M; up/down threshold +/-1.5%; active logarithmic range threshold 3.0%; quiet active breadth threshold 35%; median direction threshold +/-1.0%."}</x:v>
      </x:c>
    </x:row>
    <x:row r="62" ht="21" customHeight="1">
      <x:c r="A62" s="8" t="n">
        <x:v>46276.27552083333</x:v>
      </x:c>
      <x:c r="B62" s="10" t="n">
        <x:v>1789097805</x:v>
      </x:c>
      <x:c r="C62" s="3" t="str">
        <x:v>production</x:v>
      </x:c>
      <x:c r="D62" s="3" t="str">
        <x:v>ACTIVE / WEAK</x:v>
      </x:c>
      <x:c r="E62" s="3" t="str">
        <x:v>Broad selling pressure is elevated; new longs need caution.</x:v>
      </x:c>
      <x:c r="F62" s="10" t="n">
        <x:v>44</x:v>
      </x:c>
      <x:c r="G62" s="9" t="n">
        <x:v>13.6</x:v>
      </x:c>
      <x:c r="H62" s="9" t="n">
        <x:v>72.7</x:v>
      </x:c>
      <x:c r="I62" s="9" t="n">
        <x:v>84.1</x:v>
      </x:c>
      <x:c r="J62" s="9" t="n">
        <x:v>-2.95</x:v>
      </x:c>
      <x:c r="K62" s="9" t="n">
        <x:v>6.3</x:v>
      </x:c>
      <x:c r="L62" s="3" t="str">
        <x:v>Liquid non-stable USDT pairs: volume &gt;= 10M; up/down threshold +/-1.5%; active logarithmic range threshold 3.0%; quiet active breadth threshold 35%; median direction threshold +/-1.0%.</x:v>
      </x:c>
      <x:c r="M62" s="10" t="n">
        <x:v>717</x:v>
      </x:c>
      <x:c r="N62" s="3" t="str">
        <x:v>{"recorded_at": 1789097805, "environment": "production", "regime": "ACTIVE / WEAK", "expectation": "Broad selling pressure is elevated; new longs need caution.", "sample_size": 44, "up_pct": 13.6, "down_pct": 72.7, "active_pct": 84.1, "median_change_pct": -2.95, "median_range_pct": 6.3, "formula": "Liquid non-stable USDT pairs: volume &gt;= 10M; up/down threshold +/-1.5%; active logarithmic range threshold 3.0%; quiet active breadth threshold 35%; median direction threshold +/-1.0%."}</x:v>
      </x:c>
    </x:row>
    <x:row r="63" ht="21" customHeight="1">
      <x:c r="A63" s="8" t="n">
        <x:v>46276.28622685185</x:v>
      </x:c>
      <x:c r="B63" s="10" t="n">
        <x:v>1789098730</x:v>
      </x:c>
      <x:c r="C63" s="3" t="str">
        <x:v>production</x:v>
      </x:c>
      <x:c r="D63" s="3" t="str">
        <x:v>ACTIVE / WEAK</x:v>
      </x:c>
      <x:c r="E63" s="3" t="str">
        <x:v>Broad selling pressure is elevated; new longs need caution.</x:v>
      </x:c>
      <x:c r="F63" s="10" t="n">
        <x:v>44</x:v>
      </x:c>
      <x:c r="G63" s="9" t="n">
        <x:v>11.4</x:v>
      </x:c>
      <x:c r="H63" s="9" t="n">
        <x:v>75</x:v>
      </x:c>
      <x:c r="I63" s="9" t="n">
        <x:v>84.1</x:v>
      </x:c>
      <x:c r="J63" s="9" t="n">
        <x:v>-2.93</x:v>
      </x:c>
      <x:c r="K63" s="9" t="n">
        <x:v>6.3</x:v>
      </x:c>
      <x:c r="L63" s="3" t="str">
        <x:v>Liquid non-stable USDT pairs: volume &gt;= 10M; up/down threshold +/-1.5%; active logarithmic range threshold 3.0%; quiet active breadth threshold 35%; median direction threshold +/-1.0%.</x:v>
      </x:c>
      <x:c r="M63" s="10" t="n">
        <x:v>718</x:v>
      </x:c>
      <x:c r="N63" s="3" t="str">
        <x:v>{"recorded_at": 1789098730, "environment": "production", "regime": "ACTIVE / WEAK", "expectation": "Broad selling pressure is elevated; new longs need caution.", "sample_size": 44, "up_pct": 11.4, "down_pct": 75.0, "active_pct": 84.1, "median_change_pct": -2.93, "median_range_pct": 6.3, "formula": "Liquid non-stable USDT pairs: volume &gt;= 10M; up/down threshold +/-1.5%; active logarithmic range threshold 3.0%; quiet active breadth threshold 35%; median direction threshold +/-1.0%."}</x:v>
      </x:c>
    </x:row>
    <x:row r="64" ht="21" customHeight="1">
      <x:c r="A64" s="8" t="n">
        <x:v>46276.2969212963</x:v>
      </x:c>
      <x:c r="B64" s="10" t="n">
        <x:v>1789099654</x:v>
      </x:c>
      <x:c r="C64" s="3" t="str">
        <x:v>production</x:v>
      </x:c>
      <x:c r="D64" s="3" t="str">
        <x:v>ACTIVE / WEAK</x:v>
      </x:c>
      <x:c r="E64" s="3" t="str">
        <x:v>Broad selling pressure is elevated; new longs need caution.</x:v>
      </x:c>
      <x:c r="F64" s="10" t="n">
        <x:v>44</x:v>
      </x:c>
      <x:c r="G64" s="9" t="n">
        <x:v>13.6</x:v>
      </x:c>
      <x:c r="H64" s="9" t="n">
        <x:v>72.7</x:v>
      </x:c>
      <x:c r="I64" s="9" t="n">
        <x:v>84.1</x:v>
      </x:c>
      <x:c r="J64" s="9" t="n">
        <x:v>-2.8</x:v>
      </x:c>
      <x:c r="K64" s="9" t="n">
        <x:v>6.3</x:v>
      </x:c>
      <x:c r="L64" s="3" t="str">
        <x:v>Liquid non-stable USDT pairs: volume &gt;= 10M; up/down threshold +/-1.5%; active logarithmic range threshold 3.0%; quiet active breadth threshold 35%; median direction threshold +/-1.0%.</x:v>
      </x:c>
      <x:c r="M64" s="10" t="n">
        <x:v>719</x:v>
      </x:c>
      <x:c r="N64" s="3" t="str">
        <x:v>{"recorded_at": 1789099654, "environment": "production", "regime": "ACTIVE / WEAK", "expectation": "Broad selling pressure is elevated; new longs need caution.", "sample_size": 44, "up_pct": 13.6, "down_pct": 72.7, "active_pct": 84.1, "median_change_pct": -2.8, "median_range_pct": 6.3, "formula": "Liquid non-stable USDT pairs: volume &gt;= 10M; up/down threshold +/-1.5%; active logarithmic range threshold 3.0%; quiet active breadth threshold 35%; median direction threshold +/-1.0%."}</x:v>
      </x:c>
    </x:row>
    <x:row r="65" ht="21" customHeight="1">
      <x:c r="A65" s="8" t="n">
        <x:v>46276.30767361111</x:v>
      </x:c>
      <x:c r="B65" s="10" t="n">
        <x:v>1789100583</x:v>
      </x:c>
      <x:c r="C65" s="3" t="str">
        <x:v>production</x:v>
      </x:c>
      <x:c r="D65" s="3" t="str">
        <x:v>ACTIVE / WEAK</x:v>
      </x:c>
      <x:c r="E65" s="3" t="str">
        <x:v>Broad selling pressure is elevated; new longs need caution.</x:v>
      </x:c>
      <x:c r="F65" s="10" t="n">
        <x:v>44</x:v>
      </x:c>
      <x:c r="G65" s="9" t="n">
        <x:v>13.6</x:v>
      </x:c>
      <x:c r="H65" s="9" t="n">
        <x:v>68.2</x:v>
      </x:c>
      <x:c r="I65" s="9" t="n">
        <x:v>84.1</x:v>
      </x:c>
      <x:c r="J65" s="9" t="n">
        <x:v>-2.48</x:v>
      </x:c>
      <x:c r="K65" s="9" t="n">
        <x:v>6.3</x:v>
      </x:c>
      <x:c r="L65" s="3" t="str">
        <x:v>Liquid non-stable USDT pairs: volume &gt;= 10M; up/down threshold +/-1.5%; active logarithmic range threshold 3.0%; quiet active breadth threshold 35%; median direction threshold +/-1.0%.</x:v>
      </x:c>
      <x:c r="M65" s="10" t="n">
        <x:v>720</x:v>
      </x:c>
      <x:c r="N65" s="3" t="str">
        <x:v>{"recorded_at": 1789100583, "environment": "production", "regime": "ACTIVE / WEAK", "expectation": "Broad selling pressure is elevated; new longs need caution.", "sample_size": 44, "up_pct": 13.6, "down_pct": 68.2, "active_pct": 84.1, "median_change_pct": -2.48, "median_range_pct": 6.3, "formula": "Liquid non-stable USDT pairs: volume &gt;= 10M; up/down threshold +/-1.5%; active logarithmic range threshold 3.0%; quiet active breadth threshold 35%; median direction threshold +/-1.0%."}</x:v>
      </x:c>
    </x:row>
    <x:row r="66" ht="21" customHeight="1">
      <x:c r="A66" s="8" t="n">
        <x:v>46276.31818287037</x:v>
      </x:c>
      <x:c r="B66" s="10" t="n">
        <x:v>1789101491</x:v>
      </x:c>
      <x:c r="C66" s="3" t="str">
        <x:v>production</x:v>
      </x:c>
      <x:c r="D66" s="3" t="str">
        <x:v>ACTIVE / WEAK</x:v>
      </x:c>
      <x:c r="E66" s="3" t="str">
        <x:v>Broad selling pressure is elevated; new longs need caution.</x:v>
      </x:c>
      <x:c r="F66" s="10" t="n">
        <x:v>43</x:v>
      </x:c>
      <x:c r="G66" s="9" t="n">
        <x:v>14</x:v>
      </x:c>
      <x:c r="H66" s="9" t="n">
        <x:v>67.4</x:v>
      </x:c>
      <x:c r="I66" s="9" t="n">
        <x:v>86</x:v>
      </x:c>
      <x:c r="J66" s="9" t="n">
        <x:v>-2.27</x:v>
      </x:c>
      <x:c r="K66" s="9" t="n">
        <x:v>6.22</x:v>
      </x:c>
      <x:c r="L66" s="3" t="str">
        <x:v>Liquid non-stable USDT pairs: volume &gt;= 10M; up/down threshold +/-1.5%; active logarithmic range threshold 3.0%; quiet active breadth threshold 35%; median direction threshold +/-1.0%.</x:v>
      </x:c>
      <x:c r="M66" s="10" t="n">
        <x:v>721</x:v>
      </x:c>
      <x:c r="N66" s="3" t="str">
        <x:v>{"recorded_at": 1789101491, "environment": "production", "regime": "ACTIVE / WEAK", "expectation": "Broad selling pressure is elevated; new longs need caution.", "sample_size": 43, "up_pct": 14.0, "down_pct": 67.4, "active_pct": 86.0, "median_change_pct": -2.27, "median_range_pct": 6.22, "formula": "Liquid non-stable USDT pairs: volume &gt;= 10M; up/down threshold +/-1.5%; active logarithmic range threshold 3.0%; quiet active breadth threshold 35%; median direction threshold +/-1.0%."}</x:v>
      </x:c>
    </x:row>
    <x:row r="67" ht="21" customHeight="1">
      <x:c r="A67" s="8" t="n">
        <x:v>46276.32875</x:v>
      </x:c>
      <x:c r="B67" s="10" t="n">
        <x:v>1789102404</x:v>
      </x:c>
      <x:c r="C67" s="3" t="str">
        <x:v>production</x:v>
      </x:c>
      <x:c r="D67" s="3" t="str">
        <x:v>ACTIVE / WEAK</x:v>
      </x:c>
      <x:c r="E67" s="3" t="str">
        <x:v>Broad selling pressure is elevated; new longs need caution.</x:v>
      </x:c>
      <x:c r="F67" s="10" t="n">
        <x:v>43</x:v>
      </x:c>
      <x:c r="G67" s="9" t="n">
        <x:v>16.3</x:v>
      </x:c>
      <x:c r="H67" s="9" t="n">
        <x:v>67.4</x:v>
      </x:c>
      <x:c r="I67" s="9" t="n">
        <x:v>86</x:v>
      </x:c>
      <x:c r="J67" s="9" t="n">
        <x:v>-2.25</x:v>
      </x:c>
      <x:c r="K67" s="9" t="n">
        <x:v>6.38</x:v>
      </x:c>
      <x:c r="L67" s="3" t="str">
        <x:v>Liquid non-stable USDT pairs: volume &gt;= 10M; up/down threshold +/-1.5%; active logarithmic range threshold 3.0%; quiet active breadth threshold 35%; median direction threshold +/-1.0%.</x:v>
      </x:c>
      <x:c r="M67" s="10" t="n">
        <x:v>722</x:v>
      </x:c>
      <x:c r="N67" s="3" t="str">
        <x:v>{"recorded_at": 1789102404, "environment": "production", "regime": "ACTIVE / WEAK", "expectation": "Broad selling pressure is elevated; new longs need caution.", "sample_size": 43, "up_pct": 16.3, "down_pct": 67.4, "active_pct": 86.0, "median_change_pct": -2.25, "median_range_pct": 6.38, "formula": "Liquid non-stable USDT pairs: volume &gt;= 10M; up/down threshold +/-1.5%; active logarithmic range threshold 3.0%; quiet active breadth threshold 35%; median direction threshold +/-1.0%."}</x:v>
      </x:c>
    </x:row>
    <x:row r="68" ht="21" customHeight="1">
      <x:c r="A68" s="8" t="n">
        <x:v>46276.33924768519</x:v>
      </x:c>
      <x:c r="B68" s="10" t="n">
        <x:v>1789103311</x:v>
      </x:c>
      <x:c r="C68" s="3" t="str">
        <x:v>production</x:v>
      </x:c>
      <x:c r="D68" s="3" t="str">
        <x:v>ACTIVE / WEAK</x:v>
      </x:c>
      <x:c r="E68" s="3" t="str">
        <x:v>Broad selling pressure is elevated; new longs need caution.</x:v>
      </x:c>
      <x:c r="F68" s="10" t="n">
        <x:v>43</x:v>
      </x:c>
      <x:c r="G68" s="9" t="n">
        <x:v>16.3</x:v>
      </x:c>
      <x:c r="H68" s="9" t="n">
        <x:v>62.8</x:v>
      </x:c>
      <x:c r="I68" s="9" t="n">
        <x:v>86</x:v>
      </x:c>
      <x:c r="J68" s="9" t="n">
        <x:v>-2.12</x:v>
      </x:c>
      <x:c r="K68" s="9" t="n">
        <x:v>6.38</x:v>
      </x:c>
      <x:c r="L68" s="3" t="str">
        <x:v>Liquid non-stable USDT pairs: volume &gt;= 10M; up/down threshold +/-1.5%; active logarithmic range threshold 3.0%; quiet active breadth threshold 35%; median direction threshold +/-1.0%.</x:v>
      </x:c>
      <x:c r="M68" s="10" t="n">
        <x:v>723</x:v>
      </x:c>
      <x:c r="N68" s="3" t="str">
        <x:v>{"recorded_at": 1789103311, "environment": "production", "regime": "ACTIVE / WEAK", "expectation": "Broad selling pressure is elevated; new longs need caution.", "sample_size": 43, "up_pct": 16.3, "down_pct": 62.8, "active_pct": 86.0, "median_change_pct": -2.12, "median_range_pct": 6.38, "formula": "Liquid non-stable USDT pairs: volume &gt;= 10M; up/down threshold +/-1.5%; active logarithmic range threshold 3.0%; quiet active breadth threshold 35%; median direction threshold +/-1.0%."}</x:v>
      </x:c>
    </x:row>
    <x:row r="69" ht="21" customHeight="1">
      <x:c r="A69" s="8" t="n">
        <x:v>46276.34988425926</x:v>
      </x:c>
      <x:c r="B69" s="10" t="n">
        <x:v>1789104230</x:v>
      </x:c>
      <x:c r="C69" s="3" t="str">
        <x:v>production</x:v>
      </x:c>
      <x:c r="D69" s="3" t="str">
        <x:v>ACTIVE / WEAK</x:v>
      </x:c>
      <x:c r="E69" s="3" t="str">
        <x:v>Broad selling pressure is elevated; new longs need caution.</x:v>
      </x:c>
      <x:c r="F69" s="10" t="n">
        <x:v>43</x:v>
      </x:c>
      <x:c r="G69" s="9" t="n">
        <x:v>14</x:v>
      </x:c>
      <x:c r="H69" s="9" t="n">
        <x:v>69.8</x:v>
      </x:c>
      <x:c r="I69" s="9" t="n">
        <x:v>86</x:v>
      </x:c>
      <x:c r="J69" s="9" t="n">
        <x:v>-2.38</x:v>
      </x:c>
      <x:c r="K69" s="9" t="n">
        <x:v>6.42</x:v>
      </x:c>
      <x:c r="L69" s="3" t="str">
        <x:v>Liquid non-stable USDT pairs: volume &gt;= 10M; up/down threshold +/-1.5%; active logarithmic range threshold 3.0%; quiet active breadth threshold 35%; median direction threshold +/-1.0%.</x:v>
      </x:c>
      <x:c r="M69" s="10" t="n">
        <x:v>724</x:v>
      </x:c>
      <x:c r="N69" s="3" t="str">
        <x:v>{"recorded_at": 1789104230, "environment": "production", "regime": "ACTIVE / WEAK", "expectation": "Broad selling pressure is elevated; new longs need caution.", "sample_size": 43, "up_pct": 14.0, "down_pct": 69.8, "active_pct": 86.0, "median_change_pct": -2.38, "median_range_pct": 6.42, "formula": "Liquid non-stable USDT pairs: volume &gt;= 10M; up/down threshold +/-1.5%; active logarithmic range threshold 3.0%; quiet active breadth threshold 35%; median direction threshold +/-1.0%."}</x:v>
      </x:c>
    </x:row>
    <x:row r="70" ht="21" customHeight="1">
      <x:c r="A70" s="8" t="n">
        <x:v>46276.36037037037</x:v>
      </x:c>
      <x:c r="B70" s="10" t="n">
        <x:v>1789105136</x:v>
      </x:c>
      <x:c r="C70" s="3" t="str">
        <x:v>production</x:v>
      </x:c>
      <x:c r="D70" s="3" t="str">
        <x:v>ACTIVE / WEAK</x:v>
      </x:c>
      <x:c r="E70" s="3" t="str">
        <x:v>Broad selling pressure is elevated; new longs need caution.</x:v>
      </x:c>
      <x:c r="F70" s="10" t="n">
        <x:v>44</x:v>
      </x:c>
      <x:c r="G70" s="9" t="n">
        <x:v>13.6</x:v>
      </x:c>
      <x:c r="H70" s="9" t="n">
        <x:v>70.5</x:v>
      </x:c>
      <x:c r="I70" s="9" t="n">
        <x:v>86.4</x:v>
      </x:c>
      <x:c r="J70" s="9" t="n">
        <x:v>-2.48</x:v>
      </x:c>
      <x:c r="K70" s="9" t="n">
        <x:v>6.4</x:v>
      </x:c>
      <x:c r="L70" s="3" t="str">
        <x:v>Liquid non-stable USDT pairs: volume &gt;= 10M; up/down threshold +/-1.5%; active logarithmic range threshold 3.0%; quiet active breadth threshold 35%; median direction threshold +/-1.0%.</x:v>
      </x:c>
      <x:c r="M70" s="10" t="n">
        <x:v>725</x:v>
      </x:c>
      <x:c r="N70" s="3" t="str">
        <x:v>{"recorded_at": 1789105136, "environment": "production", "regime": "ACTIVE / WEAK", "expectation": "Broad selling pressure is elevated; new longs need caution.", "sample_size": 44, "up_pct": 13.6, "down_pct": 70.5, "active_pct": 86.4, "median_change_pct": -2.48, "median_range_pct": 6.4, "formula": "Liquid non-stable USDT pairs: volume &gt;= 10M; up/down threshold +/-1.5%; active logarithmic range threshold 3.0%; quiet active breadth threshold 35%; median direction threshold +/-1.0%."}</x:v>
      </x:c>
    </x:row>
    <x:row r="71" ht="21" customHeight="1">
      <x:c r="A71" s="8" t="n">
        <x:v>46276.37097222222</x:v>
      </x:c>
      <x:c r="B71" s="10" t="n">
        <x:v>1789106052</x:v>
      </x:c>
      <x:c r="C71" s="3" t="str">
        <x:v>production</x:v>
      </x:c>
      <x:c r="D71" s="3" t="str">
        <x:v>ACTIVE / WEAK</x:v>
      </x:c>
      <x:c r="E71" s="3" t="str">
        <x:v>Broad selling pressure is elevated; new longs need caution.</x:v>
      </x:c>
      <x:c r="F71" s="10" t="n">
        <x:v>44</x:v>
      </x:c>
      <x:c r="G71" s="9" t="n">
        <x:v>13.6</x:v>
      </x:c>
      <x:c r="H71" s="9" t="n">
        <x:v>65.9</x:v>
      </x:c>
      <x:c r="I71" s="9" t="n">
        <x:v>86.4</x:v>
      </x:c>
      <x:c r="J71" s="9" t="n">
        <x:v>-2.24</x:v>
      </x:c>
      <x:c r="K71" s="9" t="n">
        <x:v>6.4</x:v>
      </x:c>
      <x:c r="L71" s="3" t="str">
        <x:v>Liquid non-stable USDT pairs: volume &gt;= 10M; up/down threshold +/-1.5%; active logarithmic range threshold 3.0%; quiet active breadth threshold 35%; median direction threshold +/-1.0%.</x:v>
      </x:c>
      <x:c r="M71" s="10" t="n">
        <x:v>726</x:v>
      </x:c>
      <x:c r="N71" s="3" t="str">
        <x:v>{"recorded_at": 1789106052, "environment": "production", "regime": "ACTIVE / WEAK", "expectation": "Broad selling pressure is elevated; new longs need caution.", "sample_size": 44, "up_pct": 13.6, "down_pct": 65.9, "active_pct": 86.4, "median_change_pct": -2.24, "median_range_pct": 6.4, "formula": "Liquid non-stable USDT pairs: volume &gt;= 10M; up/down threshold +/-1.5%; active logarithmic range threshold 3.0%; quiet active breadth threshold 35%; median direction threshold +/-1.0%."}</x:v>
      </x:c>
    </x:row>
    <x:row r="72" ht="21" customHeight="1">
      <x:c r="A72" s="8" t="n">
        <x:v>46276.3816087963</x:v>
      </x:c>
      <x:c r="B72" s="10" t="n">
        <x:v>1789106971</x:v>
      </x:c>
      <x:c r="C72" s="3" t="str">
        <x:v>production</x:v>
      </x:c>
      <x:c r="D72" s="3" t="str">
        <x:v>ACTIVE / WEAK</x:v>
      </x:c>
      <x:c r="E72" s="3" t="str">
        <x:v>Broad selling pressure is elevated; new longs need caution.</x:v>
      </x:c>
      <x:c r="F72" s="10" t="n">
        <x:v>44</x:v>
      </x:c>
      <x:c r="G72" s="9" t="n">
        <x:v>13.6</x:v>
      </x:c>
      <x:c r="H72" s="9" t="n">
        <x:v>56.8</x:v>
      </x:c>
      <x:c r="I72" s="9" t="n">
        <x:v>86.4</x:v>
      </x:c>
      <x:c r="J72" s="9" t="n">
        <x:v>-1.99</x:v>
      </x:c>
      <x:c r="K72" s="9" t="n">
        <x:v>6.4</x:v>
      </x:c>
      <x:c r="L72" s="3" t="str">
        <x:v>Liquid non-stable USDT pairs: volume &gt;= 10M; up/down threshold +/-1.5%; active logarithmic range threshold 3.0%; quiet active breadth threshold 35%; median direction threshold +/-1.0%.</x:v>
      </x:c>
      <x:c r="M72" s="10" t="n">
        <x:v>727</x:v>
      </x:c>
      <x:c r="N72" s="3" t="str">
        <x:v>{"recorded_at": 1789106971, "environment": "production", "regime": "ACTIVE / WEAK", "expectation": "Broad selling pressure is elevated; new longs need caution.", "sample_size": 44, "up_pct": 13.6, "down_pct": 56.8, "active_pct": 86.4, "median_change_pct": -1.99, "median_range_pct": 6.4, "formula": "Liquid non-stable USDT pairs: volume &gt;= 10M; up/down threshold +/-1.5%; active logarithmic range threshold 3.0%; quiet active breadth threshold 35%; median direction threshold +/-1.0%."}</x:v>
      </x:c>
    </x:row>
    <x:row r="73" ht="21" customHeight="1">
      <x:c r="A73" s="8" t="n">
        <x:v>46276.392118055555</x:v>
      </x:c>
      <x:c r="B73" s="10" t="n">
        <x:v>1789107879</x:v>
      </x:c>
      <x:c r="C73" s="3" t="str">
        <x:v>production</x:v>
      </x:c>
      <x:c r="D73" s="3" t="str">
        <x:v>ACTIVE / WEAK</x:v>
      </x:c>
      <x:c r="E73" s="3" t="str">
        <x:v>Broad selling pressure is elevated; new longs need caution.</x:v>
      </x:c>
      <x:c r="F73" s="10" t="n">
        <x:v>44</x:v>
      </x:c>
      <x:c r="G73" s="9" t="n">
        <x:v>15.9</x:v>
      </x:c>
      <x:c r="H73" s="9" t="n">
        <x:v>54.5</x:v>
      </x:c>
      <x:c r="I73" s="9" t="n">
        <x:v>86.4</x:v>
      </x:c>
      <x:c r="J73" s="9" t="n">
        <x:v>-1.73</x:v>
      </x:c>
      <x:c r="K73" s="9" t="n">
        <x:v>6.32</x:v>
      </x:c>
      <x:c r="L73" s="3" t="str">
        <x:v>Liquid non-stable USDT pairs: volume &gt;= 10M; up/down threshold +/-1.5%; active logarithmic range threshold 3.0%; quiet active breadth threshold 35%; median direction threshold +/-1.0%.</x:v>
      </x:c>
      <x:c r="M73" s="10" t="n">
        <x:v>728</x:v>
      </x:c>
      <x:c r="N73" s="3" t="str">
        <x:v>{"recorded_at": 1789107879, "environment": "production", "regime": "ACTIVE / WEAK", "expectation": "Broad selling pressure is elevated; new longs need caution.", "sample_size": 44, "up_pct": 15.9, "down_pct": 54.5, "active_pct": 86.4, "median_change_pct": -1.73, "median_range_pct": 6.32, "formula": "Liquid non-stable USDT pairs: volume &gt;= 10M; up/down threshold +/-1.5%; active logarithmic range threshold 3.0%; quiet active breadth threshold 35%; median direction threshold +/-1.0%."}</x:v>
      </x:c>
    </x:row>
    <x:row r="74" ht="21" customHeight="1">
      <x:c r="A74" s="8" t="n">
        <x:v>46276.40261574074</x:v>
      </x:c>
      <x:c r="B74" s="10" t="n">
        <x:v>1789108786</x:v>
      </x:c>
      <x:c r="C74" s="3" t="str">
        <x:v>production</x:v>
      </x:c>
      <x:c r="D74" s="3" t="str">
        <x:v>ACTIVE / WEAK</x:v>
      </x:c>
      <x:c r="E74" s="3" t="str">
        <x:v>Broad selling pressure is elevated; new longs need caution.</x:v>
      </x:c>
      <x:c r="F74" s="10" t="n">
        <x:v>44</x:v>
      </x:c>
      <x:c r="G74" s="9" t="n">
        <x:v>15.9</x:v>
      </x:c>
      <x:c r="H74" s="9" t="n">
        <x:v>56.8</x:v>
      </x:c>
      <x:c r="I74" s="9" t="n">
        <x:v>86.4</x:v>
      </x:c>
      <x:c r="J74" s="9" t="n">
        <x:v>-2.05</x:v>
      </x:c>
      <x:c r="K74" s="9" t="n">
        <x:v>6.32</x:v>
      </x:c>
      <x:c r="L74" s="3" t="str">
        <x:v>Liquid non-stable USDT pairs: volume &gt;= 10M; up/down threshold +/-1.5%; active logarithmic range threshold 3.0%; quiet active breadth threshold 35%; median direction threshold +/-1.0%.</x:v>
      </x:c>
      <x:c r="M74" s="10" t="n">
        <x:v>729</x:v>
      </x:c>
      <x:c r="N74" s="3" t="str">
        <x:v>{"recorded_at": 1789108786, "environment": "production", "regime": "ACTIVE / WEAK", "expectation": "Broad selling pressure is elevated; new longs need caution.", "sample_size": 44, "up_pct": 15.9, "down_pct": 56.8, "active_pct": 86.4, "median_change_pct": -2.05, "median_range_pct": 6.32, "formula": "Liquid non-stable USDT pairs: volume &gt;= 10M; up/down threshold +/-1.5%; active logarithmic range threshold 3.0%; quiet active breadth threshold 35%; median direction threshold +/-1.0%."}</x:v>
      </x:c>
    </x:row>
    <x:row r="75" ht="21" customHeight="1">
      <x:c r="A75" s="8" t="n">
        <x:v>46276.41310185185</x:v>
      </x:c>
      <x:c r="B75" s="10" t="n">
        <x:v>1789109692</x:v>
      </x:c>
      <x:c r="C75" s="3" t="str">
        <x:v>production</x:v>
      </x:c>
      <x:c r="D75" s="3" t="str">
        <x:v>ACTIVE / WEAK</x:v>
      </x:c>
      <x:c r="E75" s="3" t="str">
        <x:v>Broad selling pressure is elevated; new longs need caution.</x:v>
      </x:c>
      <x:c r="F75" s="10" t="n">
        <x:v>44</x:v>
      </x:c>
      <x:c r="G75" s="9" t="n">
        <x:v>15.9</x:v>
      </x:c>
      <x:c r="H75" s="9" t="n">
        <x:v>61.4</x:v>
      </x:c>
      <x:c r="I75" s="9" t="n">
        <x:v>86.4</x:v>
      </x:c>
      <x:c r="J75" s="9" t="n">
        <x:v>-2.28</x:v>
      </x:c>
      <x:c r="K75" s="9" t="n">
        <x:v>6.26</x:v>
      </x:c>
      <x:c r="L75" s="3" t="str">
        <x:v>Liquid non-stable USDT pairs: volume &gt;= 10M; up/down threshold +/-1.5%; active logarithmic range threshold 3.0%; quiet active breadth threshold 35%; median direction threshold +/-1.0%.</x:v>
      </x:c>
      <x:c r="M75" s="10" t="n">
        <x:v>730</x:v>
      </x:c>
      <x:c r="N75" s="3" t="str">
        <x:v>{"recorded_at": 1789109692, "environment": "production", "regime": "ACTIVE / WEAK", "expectation": "Broad selling pressure is elevated; new longs need caution.", "sample_size": 44, "up_pct": 15.9, "down_pct": 61.4, "active_pct": 86.4, "median_change_pct": -2.28, "median_range_pct": 6.26, "formula": "Liquid non-stable USDT pairs: volume &gt;= 10M; up/down threshold +/-1.5%; active logarithmic range threshold 3.0%; quiet active breadth threshold 35%; median direction threshold +/-1.0%."}</x:v>
      </x:c>
    </x:row>
    <x:row r="76" ht="21" customHeight="1">
      <x:c r="A76" s="8" t="n">
        <x:v>46276.42369212963</x:v>
      </x:c>
      <x:c r="B76" s="10" t="n">
        <x:v>1789110607</x:v>
      </x:c>
      <x:c r="C76" s="3" t="str">
        <x:v>production</x:v>
      </x:c>
      <x:c r="D76" s="3" t="str">
        <x:v>ACTIVE / WEAK</x:v>
      </x:c>
      <x:c r="E76" s="3" t="str">
        <x:v>Broad selling pressure is elevated; new longs need caution.</x:v>
      </x:c>
      <x:c r="F76" s="10" t="n">
        <x:v>43</x:v>
      </x:c>
      <x:c r="G76" s="9" t="n">
        <x:v>16.3</x:v>
      </x:c>
      <x:c r="H76" s="9" t="n">
        <x:v>55.8</x:v>
      </x:c>
      <x:c r="I76" s="9" t="n">
        <x:v>83.7</x:v>
      </x:c>
      <x:c r="J76" s="9" t="n">
        <x:v>-1.63</x:v>
      </x:c>
      <x:c r="K76" s="9" t="n">
        <x:v>6.21</x:v>
      </x:c>
      <x:c r="L76" s="3" t="str">
        <x:v>Liquid non-stable USDT pairs: volume &gt;= 10M; up/down threshold +/-1.5%; active logarithmic range threshold 3.0%; quiet active breadth threshold 35%; median direction threshold +/-1.0%.</x:v>
      </x:c>
      <x:c r="M76" s="10" t="n">
        <x:v>731</x:v>
      </x:c>
      <x:c r="N76" s="3" t="str">
        <x:v>{"recorded_at": 1789110607, "environment": "production", "regime": "ACTIVE / WEAK", "expectation": "Broad selling pressure is elevated; new longs need caution.", "sample_size": 43, "up_pct": 16.3, "down_pct": 55.8, "active_pct": 83.7, "median_change_pct": -1.63, "median_range_pct": 6.21, "formula": "Liquid non-stable USDT pairs: volume &gt;= 10M; up/down threshold +/-1.5%; active logarithmic range threshold 3.0%; quiet active breadth threshold 35%; median direction threshold +/-1.0%."}</x:v>
      </x:c>
    </x:row>
    <x:row r="77" ht="21" customHeight="1">
      <x:c r="A77" s="8" t="n">
        <x:v>46276.434270833335</x:v>
      </x:c>
      <x:c r="B77" s="10" t="n">
        <x:v>1789111521</x:v>
      </x:c>
      <x:c r="C77" s="3" t="str">
        <x:v>production</x:v>
      </x:c>
      <x:c r="D77" s="3" t="str">
        <x:v>ACTIVE / WEAK</x:v>
      </x:c>
      <x:c r="E77" s="3" t="str">
        <x:v>Broad selling pressure is elevated; new longs need caution.</x:v>
      </x:c>
      <x:c r="F77" s="10" t="n">
        <x:v>43</x:v>
      </x:c>
      <x:c r="G77" s="9" t="n">
        <x:v>23.3</x:v>
      </x:c>
      <x:c r="H77" s="9" t="n">
        <x:v>48.8</x:v>
      </x:c>
      <x:c r="I77" s="9" t="n">
        <x:v>83.7</x:v>
      </x:c>
      <x:c r="J77" s="9" t="n">
        <x:v>-1.34</x:v>
      </x:c>
      <x:c r="K77" s="9" t="n">
        <x:v>5.78</x:v>
      </x:c>
      <x:c r="L77" s="3" t="str">
        <x:v>Liquid non-stable USDT pairs: volume &gt;= 10M; up/down threshold +/-1.5%; active logarithmic range threshold 3.0%; quiet active breadth threshold 35%; median direction threshold +/-1.0%.</x:v>
      </x:c>
      <x:c r="M77" s="10" t="n">
        <x:v>732</x:v>
      </x:c>
      <x:c r="N77" s="3" t="str">
        <x:v>{"recorded_at": 1789111521, "environment": "production", "regime": "ACTIVE / WEAK", "expectation": "Broad selling pressure is elevated; new longs need caution.", "sample_size": 43, "up_pct": 23.3, "down_pct": 48.8, "active_pct": 83.7, "median_change_pct": -1.34, "median_range_pct": 5.78, "formula": "Liquid non-stable USDT pairs: volume &gt;= 10M; up/down threshold +/-1.5%; active logarithmic range threshold 3.0%; quiet active breadth threshold 35%; median direction threshold +/-1.0%."}</x:v>
      </x:c>
    </x:row>
    <x:row r="78" ht="21" customHeight="1">
      <x:c r="A78" s="8" t="n">
        <x:v>46276.444756944446</x:v>
      </x:c>
      <x:c r="B78" s="10" t="n">
        <x:v>1789112427</x:v>
      </x:c>
      <x:c r="C78" s="3" t="str">
        <x:v>production</x:v>
      </x:c>
      <x:c r="D78" s="3" t="str">
        <x:v>ACTIVE / WEAK</x:v>
      </x:c>
      <x:c r="E78" s="3" t="str">
        <x:v>Broad selling pressure is elevated; new longs need caution.</x:v>
      </x:c>
      <x:c r="F78" s="10" t="n">
        <x:v>43</x:v>
      </x:c>
      <x:c r="G78" s="9" t="n">
        <x:v>23.3</x:v>
      </x:c>
      <x:c r="H78" s="9" t="n">
        <x:v>44.2</x:v>
      </x:c>
      <x:c r="I78" s="9" t="n">
        <x:v>83.7</x:v>
      </x:c>
      <x:c r="J78" s="9" t="n">
        <x:v>-1.31</x:v>
      </x:c>
      <x:c r="K78" s="9" t="n">
        <x:v>5.78</x:v>
      </x:c>
      <x:c r="L78" s="3" t="str">
        <x:v>Liquid non-stable USDT pairs: volume &gt;= 10M; up/down threshold +/-1.5%; active logarithmic range threshold 3.0%; quiet active breadth threshold 35%; median direction threshold +/-1.0%.</x:v>
      </x:c>
      <x:c r="M78" s="10" t="n">
        <x:v>733</x:v>
      </x:c>
      <x:c r="N78" s="3" t="str">
        <x:v>{"recorded_at": 1789112427, "environment": "production", "regime": "ACTIVE / WEAK", "expectation": "Broad selling pressure is elevated; new longs need caution.", "sample_size": 43, "up_pct": 23.3, "down_pct": 44.2, "active_pct": 83.7, "median_change_pct": -1.31, "median_range_pct": 5.78, "formula": "Liquid non-stable USDT pairs: volume &gt;= 10M; up/down threshold +/-1.5%; active logarithmic range threshold 3.0%; quiet active breadth threshold 35%; median direction threshold +/-1.0%."}</x:v>
      </x:c>
    </x:row>
    <x:row r="79" ht="21" customHeight="1">
      <x:c r="A79" s="8" t="n">
        <x:v>46276.45553240741</x:v>
      </x:c>
      <x:c r="B79" s="10" t="n">
        <x:v>1789113358</x:v>
      </x:c>
      <x:c r="C79" s="3" t="str">
        <x:v>production</x:v>
      </x:c>
      <x:c r="D79" s="3" t="str">
        <x:v>ACTIVE / WEAK</x:v>
      </x:c>
      <x:c r="E79" s="3" t="str">
        <x:v>Broad selling pressure is elevated; new longs need caution.</x:v>
      </x:c>
      <x:c r="F79" s="10" t="n">
        <x:v>43</x:v>
      </x:c>
      <x:c r="G79" s="9" t="n">
        <x:v>20.9</x:v>
      </x:c>
      <x:c r="H79" s="9" t="n">
        <x:v>51.2</x:v>
      </x:c>
      <x:c r="I79" s="9" t="n">
        <x:v>83.7</x:v>
      </x:c>
      <x:c r="J79" s="9" t="n">
        <x:v>-1.58</x:v>
      </x:c>
      <x:c r="K79" s="9" t="n">
        <x:v>5.78</x:v>
      </x:c>
      <x:c r="L79" s="3" t="str">
        <x:v>Liquid non-stable USDT pairs: volume &gt;= 10M; up/down threshold +/-1.5%; active logarithmic range threshold 3.0%; quiet active breadth threshold 35%; median direction threshold +/-1.0%.</x:v>
      </x:c>
      <x:c r="M79" s="10" t="n">
        <x:v>734</x:v>
      </x:c>
      <x:c r="N79" s="3" t="str">
        <x:v>{"recorded_at": 1789113358, "environment": "production", "regime": "ACTIVE / WEAK", "expectation": "Broad selling pressure is elevated; new longs need caution.", "sample_size": 43, "up_pct": 20.9, "down_pct": 51.2, "active_pct": 83.7, "median_change_pct": -1.58, "median_range_pct": 5.78, "formula": "Liquid non-stable USDT pairs: volume &gt;= 10M; up/down threshold +/-1.5%; active logarithmic range threshold 3.0%; quiet active breadth threshold 35%; median direction threshold +/-1.0%."}</x:v>
      </x:c>
    </x:row>
    <x:row r="80" ht="21" customHeight="1">
      <x:c r="A80" s="8" t="n">
        <x:v>46276.46606481481</x:v>
      </x:c>
      <x:c r="B80" s="10" t="n">
        <x:v>1789114268</x:v>
      </x:c>
      <x:c r="C80" s="3" t="str">
        <x:v>production</x:v>
      </x:c>
      <x:c r="D80" s="3" t="str">
        <x:v>ACTIVE / WEAK</x:v>
      </x:c>
      <x:c r="E80" s="3" t="str">
        <x:v>Broad selling pressure is elevated; new longs need caution.</x:v>
      </x:c>
      <x:c r="F80" s="10" t="n">
        <x:v>43</x:v>
      </x:c>
      <x:c r="G80" s="9" t="n">
        <x:v>11.6</x:v>
      </x:c>
      <x:c r="H80" s="9" t="n">
        <x:v>51.2</x:v>
      </x:c>
      <x:c r="I80" s="9" t="n">
        <x:v>83.7</x:v>
      </x:c>
      <x:c r="J80" s="9" t="n">
        <x:v>-1.62</x:v>
      </x:c>
      <x:c r="K80" s="9" t="n">
        <x:v>5.78</x:v>
      </x:c>
      <x:c r="L80" s="3" t="str">
        <x:v>Liquid non-stable USDT pairs: volume &gt;= 10M; up/down threshold +/-1.5%; active logarithmic range threshold 3.0%; quiet active breadth threshold 35%; median direction threshold +/-1.0%.</x:v>
      </x:c>
      <x:c r="M80" s="10" t="n">
        <x:v>735</x:v>
      </x:c>
      <x:c r="N80" s="3" t="str">
        <x:v>{"recorded_at": 1789114268, "environment": "production", "regime": "ACTIVE / WEAK", "expectation": "Broad selling pressure is elevated; new longs need caution.", "sample_size": 43, "up_pct": 11.6, "down_pct": 51.2, "active_pct": 83.7, "median_change_pct": -1.62, "median_range_pct": 5.78, "formula": "Liquid non-stable USDT pairs: volume &gt;= 10M; up/down threshold +/-1.5%; active logarithmic range threshold 3.0%; quiet active breadth threshold 35%; median direction threshold +/-1.0%."}</x:v>
      </x:c>
    </x:row>
    <x:row r="81" ht="21" customHeight="1">
      <x:c r="A81" s="8" t="n">
        <x:v>46276.47655092592</x:v>
      </x:c>
      <x:c r="B81" s="10" t="n">
        <x:v>1789115174</x:v>
      </x:c>
      <x:c r="C81" s="3" t="str">
        <x:v>production</x:v>
      </x:c>
      <x:c r="D81" s="3" t="str">
        <x:v>ACTIVE / WEAK</x:v>
      </x:c>
      <x:c r="E81" s="3" t="str">
        <x:v>Broad selling pressure is elevated; new longs need caution.</x:v>
      </x:c>
      <x:c r="F81" s="10" t="n">
        <x:v>43</x:v>
      </x:c>
      <x:c r="G81" s="9" t="n">
        <x:v>16.3</x:v>
      </x:c>
      <x:c r="H81" s="9" t="n">
        <x:v>46.5</x:v>
      </x:c>
      <x:c r="I81" s="9" t="n">
        <x:v>83.7</x:v>
      </x:c>
      <x:c r="J81" s="9" t="n">
        <x:v>-1.34</x:v>
      </x:c>
      <x:c r="K81" s="9" t="n">
        <x:v>5.78</x:v>
      </x:c>
      <x:c r="L81" s="3" t="str">
        <x:v>Liquid non-stable USDT pairs: volume &gt;= 10M; up/down threshold +/-1.5%; active logarithmic range threshold 3.0%; quiet active breadth threshold 35%; median direction threshold +/-1.0%.</x:v>
      </x:c>
      <x:c r="M81" s="10" t="n">
        <x:v>736</x:v>
      </x:c>
      <x:c r="N81" s="3" t="str">
        <x:v>{"recorded_at": 1789115174, "environment": "production", "regime": "ACTIVE / WEAK", "expectation": "Broad selling pressure is elevated; new longs need caution.", "sample_size": 43, "up_pct": 16.3, "down_pct": 46.5, "active_pct": 83.7, "median_change_pct": -1.34, "median_range_pct": 5.78, "formula": "Liquid non-stable USDT pairs: volume &gt;= 10M; up/down threshold +/-1.5%; active logarithmic range threshold 3.0%; quiet active breadth threshold 35%; median direction threshold +/-1.0%."}</x:v>
      </x:c>
    </x:row>
    <x:row r="82" ht="21" customHeight="1">
      <x:c r="A82" s="8" t="n">
        <x:v>46276.487291666665</x:v>
      </x:c>
      <x:c r="B82" s="10" t="n">
        <x:v>1789116102</x:v>
      </x:c>
      <x:c r="C82" s="3" t="str">
        <x:v>production</x:v>
      </x:c>
      <x:c r="D82" s="3" t="str">
        <x:v>ACTIVE / WEAK</x:v>
      </x:c>
      <x:c r="E82" s="3" t="str">
        <x:v>Broad selling pressure is elevated; new longs need caution.</x:v>
      </x:c>
      <x:c r="F82" s="10" t="n">
        <x:v>43</x:v>
      </x:c>
      <x:c r="G82" s="9" t="n">
        <x:v>18.6</x:v>
      </x:c>
      <x:c r="H82" s="9" t="n">
        <x:v>44.2</x:v>
      </x:c>
      <x:c r="I82" s="9" t="n">
        <x:v>86</x:v>
      </x:c>
      <x:c r="J82" s="9" t="n">
        <x:v>-1.36</x:v>
      </x:c>
      <x:c r="K82" s="9" t="n">
        <x:v>5.78</x:v>
      </x:c>
      <x:c r="L82" s="3" t="str">
        <x:v>Liquid non-stable USDT pairs: volume &gt;= 10M; up/down threshold +/-1.5%; active logarithmic range threshold 3.0%; quiet active breadth threshold 35%; median direction threshold +/-1.0%.</x:v>
      </x:c>
      <x:c r="M82" s="10" t="n">
        <x:v>737</x:v>
      </x:c>
      <x:c r="N82" s="3" t="str">
        <x:v>{"recorded_at": 1789116102, "environment": "production", "regime": "ACTIVE / WEAK", "expectation": "Broad selling pressure is elevated; new longs need caution.", "sample_size": 43, "up_pct": 18.6, "down_pct": 44.2, "active_pct": 86.0, "median_change_pct": -1.36, "median_range_pct": 5.78, "formula": "Liquid non-stable USDT pairs: volume &gt;= 10M; up/down threshold +/-1.5%; active logarithmic range threshold 3.0%; quiet active breadth threshold 35%; median direction threshold +/-1.0%."}</x:v>
      </x:c>
    </x:row>
    <x:row r="83" ht="21" customHeight="1">
      <x:c r="A83" s="8" t="n">
        <x:v>46276.497766203705</x:v>
      </x:c>
      <x:c r="B83" s="10" t="n">
        <x:v>1789117007</x:v>
      </x:c>
      <x:c r="C83" s="3" t="str">
        <x:v>production</x:v>
      </x:c>
      <x:c r="D83" s="3" t="str">
        <x:v>ACTIVE / WEAK</x:v>
      </x:c>
      <x:c r="E83" s="3" t="str">
        <x:v>Broad selling pressure is elevated; new longs need caution.</x:v>
      </x:c>
      <x:c r="F83" s="10" t="n">
        <x:v>43</x:v>
      </x:c>
      <x:c r="G83" s="9" t="n">
        <x:v>20.9</x:v>
      </x:c>
      <x:c r="H83" s="9" t="n">
        <x:v>44.2</x:v>
      </x:c>
      <x:c r="I83" s="9" t="n">
        <x:v>86</x:v>
      </x:c>
      <x:c r="J83" s="9" t="n">
        <x:v>-1.2</x:v>
      </x:c>
      <x:c r="K83" s="9" t="n">
        <x:v>5.78</x:v>
      </x:c>
      <x:c r="L83" s="3" t="str">
        <x:v>Liquid non-stable USDT pairs: volume &gt;= 10M; up/down threshold +/-1.5%; active logarithmic range threshold 3.0%; quiet active breadth threshold 35%; median direction threshold +/-1.0%.</x:v>
      </x:c>
      <x:c r="M83" s="10" t="n">
        <x:v>738</x:v>
      </x:c>
      <x:c r="N83" s="3" t="str">
        <x:v>{"recorded_at": 1789117007, "environment": "production", "regime": "ACTIVE / WEAK", "expectation": "Broad selling pressure is elevated; new longs need caution.", "sample_size": 43, "up_pct": 20.9, "down_pct": 44.2, "active_pct": 86.0, "median_change_pct": -1.2, "median_range_pct": 5.78, "formula": "Liquid non-stable USDT pairs: volume &gt;= 10M; up/down threshold +/-1.5%; active logarithmic range threshold 3.0%; quiet active breadth threshold 35%; median direction threshold +/-1.0%."}</x:v>
      </x:c>
    </x:row>
    <x:row r="84" ht="21" customHeight="1">
      <x:c r="A84" s="8" t="n">
        <x:v>46276.50833333333</x:v>
      </x:c>
      <x:c r="B84" s="10" t="n">
        <x:v>1789117920</x:v>
      </x:c>
      <x:c r="C84" s="3" t="str">
        <x:v>production</x:v>
      </x:c>
      <x:c r="D84" s="3" t="str">
        <x:v>ACTIVE / WEAK</x:v>
      </x:c>
      <x:c r="E84" s="3" t="str">
        <x:v>Broad selling pressure is elevated; new longs need caution.</x:v>
      </x:c>
      <x:c r="F84" s="10" t="n">
        <x:v>43</x:v>
      </x:c>
      <x:c r="G84" s="9" t="n">
        <x:v>18.6</x:v>
      </x:c>
      <x:c r="H84" s="9" t="n">
        <x:v>48.8</x:v>
      </x:c>
      <x:c r="I84" s="9" t="n">
        <x:v>86</x:v>
      </x:c>
      <x:c r="J84" s="9" t="n">
        <x:v>-1.4</x:v>
      </x:c>
      <x:c r="K84" s="9" t="n">
        <x:v>5.64</x:v>
      </x:c>
      <x:c r="L84" s="3" t="str">
        <x:v>Liquid non-stable USDT pairs: volume &gt;= 10M; up/down threshold +/-1.5%; active logarithmic range threshold 3.0%; quiet active breadth threshold 35%; median direction threshold +/-1.0%.</x:v>
      </x:c>
      <x:c r="M84" s="10" t="n">
        <x:v>739</x:v>
      </x:c>
      <x:c r="N84" s="3" t="str">
        <x:v>{"recorded_at": 1789117920, "environment": "production", "regime": "ACTIVE / WEAK", "expectation": "Broad selling pressure is elevated; new longs need caution.", "sample_size": 43, "up_pct": 18.6, "down_pct": 48.8, "active_pct": 86.0, "median_change_pct": -1.4, "median_range_pct": 5.64, "formula": "Liquid non-stable USDT pairs: volume &gt;= 10M; up/down threshold +/-1.5%; active logarithmic range threshold 3.0%; quiet active breadth threshold 35%; median direction threshold +/-1.0%."}</x:v>
      </x:c>
    </x:row>
    <x:row r="85" ht="21" customHeight="1">
      <x:c r="A85" s="8" t="n">
        <x:v>46276.518912037034</x:v>
      </x:c>
      <x:c r="B85" s="10" t="n">
        <x:v>1789118834</x:v>
      </x:c>
      <x:c r="C85" s="3" t="str">
        <x:v>production</x:v>
      </x:c>
      <x:c r="D85" s="3" t="str">
        <x:v>ACTIVE / WEAK</x:v>
      </x:c>
      <x:c r="E85" s="3" t="str">
        <x:v>Broad selling pressure is elevated; new longs need caution.</x:v>
      </x:c>
      <x:c r="F85" s="10" t="n">
        <x:v>43</x:v>
      </x:c>
      <x:c r="G85" s="9" t="n">
        <x:v>16.3</x:v>
      </x:c>
      <x:c r="H85" s="9" t="n">
        <x:v>53.5</x:v>
      </x:c>
      <x:c r="I85" s="9" t="n">
        <x:v>86</x:v>
      </x:c>
      <x:c r="J85" s="9" t="n">
        <x:v>-1.64</x:v>
      </x:c>
      <x:c r="K85" s="9" t="n">
        <x:v>5.64</x:v>
      </x:c>
      <x:c r="L85" s="3" t="str">
        <x:v>Liquid non-stable USDT pairs: volume &gt;= 10M; up/down threshold +/-1.5%; active logarithmic range threshold 3.0%; quiet active breadth threshold 35%; median direction threshold +/-1.0%.</x:v>
      </x:c>
      <x:c r="M85" s="10" t="n">
        <x:v>740</x:v>
      </x:c>
      <x:c r="N85" s="3" t="str">
        <x:v>{"recorded_at": 1789118834, "environment": "production", "regime": "ACTIVE / WEAK", "expectation": "Broad selling pressure is elevated; new longs need caution.", "sample_size": 43, "up_pct": 16.3, "down_pct": 53.5, "active_pct": 86.0, "median_change_pct": -1.64, "median_range_pct": 5.64, "formula": "Liquid non-stable USDT pairs: volume &gt;= 10M; up/down threshold +/-1.5%; active logarithmic range threshold 3.0%; quiet active breadth threshold 35%; median direction threshold +/-1.0%."}</x:v>
      </x:c>
    </x:row>
    <x:row r="86" ht="21" customHeight="1">
      <x:c r="A86" s="8" t="n">
        <x:v>46276.52936342593</x:v>
      </x:c>
      <x:c r="B86" s="10" t="n">
        <x:v>1789119737</x:v>
      </x:c>
      <x:c r="C86" s="3" t="str">
        <x:v>production</x:v>
      </x:c>
      <x:c r="D86" s="3" t="str">
        <x:v>ACTIVE / WEAK</x:v>
      </x:c>
      <x:c r="E86" s="3" t="str">
        <x:v>Broad selling pressure is elevated; new longs need caution.</x:v>
      </x:c>
      <x:c r="F86" s="10" t="n">
        <x:v>43</x:v>
      </x:c>
      <x:c r="G86" s="9" t="n">
        <x:v>18.6</x:v>
      </x:c>
      <x:c r="H86" s="9" t="n">
        <x:v>53.5</x:v>
      </x:c>
      <x:c r="I86" s="9" t="n">
        <x:v>86</x:v>
      </x:c>
      <x:c r="J86" s="9" t="n">
        <x:v>-1.77</x:v>
      </x:c>
      <x:c r="K86" s="9" t="n">
        <x:v>5.64</x:v>
      </x:c>
      <x:c r="L86" s="3" t="str">
        <x:v>Liquid non-stable USDT pairs: volume &gt;= 10M; up/down threshold +/-1.5%; active logarithmic range threshold 3.0%; quiet active breadth threshold 35%; median direction threshold +/-1.0%.</x:v>
      </x:c>
      <x:c r="M86" s="10" t="n">
        <x:v>741</x:v>
      </x:c>
      <x:c r="N86" s="3" t="str">
        <x:v>{"recorded_at": 1789119737, "environment": "production", "regime": "ACTIVE / WEAK", "expectation": "Broad selling pressure is elevated; new longs need caution.", "sample_size": 43, "up_pct": 18.6, "down_pct": 53.5, "active_pct": 86.0, "median_change_pct": -1.77, "median_range_pct": 5.64, "formula": "Liquid non-stable USDT pairs: volume &gt;= 10M; up/down threshold +/-1.5%; active logarithmic range threshold 3.0%; quiet active breadth threshold 35%; median direction threshold +/-1.0%."}</x:v>
      </x:c>
    </x:row>
    <x:row r="87" ht="21" customHeight="1">
      <x:c r="A87" s="8" t="n">
        <x:v>46276.53996527778</x:v>
      </x:c>
      <x:c r="B87" s="10" t="n">
        <x:v>1789120653</x:v>
      </x:c>
      <x:c r="C87" s="3" t="str">
        <x:v>production</x:v>
      </x:c>
      <x:c r="D87" s="3" t="str">
        <x:v>ACTIVE / WEAK</x:v>
      </x:c>
      <x:c r="E87" s="3" t="str">
        <x:v>Broad selling pressure is elevated; new longs need caution.</x:v>
      </x:c>
      <x:c r="F87" s="10" t="n">
        <x:v>43</x:v>
      </x:c>
      <x:c r="G87" s="9" t="n">
        <x:v>14</x:v>
      </x:c>
      <x:c r="H87" s="9" t="n">
        <x:v>51.2</x:v>
      </x:c>
      <x:c r="I87" s="9" t="n">
        <x:v>86</x:v>
      </x:c>
      <x:c r="J87" s="9" t="n">
        <x:v>-1.61</x:v>
      </x:c>
      <x:c r="K87" s="9" t="n">
        <x:v>5.64</x:v>
      </x:c>
      <x:c r="L87" s="3" t="str">
        <x:v>Liquid non-stable USDT pairs: volume &gt;= 10M; up/down threshold +/-1.5%; active logarithmic range threshold 3.0%; quiet active breadth threshold 35%; median direction threshold +/-1.0%.</x:v>
      </x:c>
      <x:c r="M87" s="10" t="n">
        <x:v>742</x:v>
      </x:c>
      <x:c r="N87" s="3" t="str">
        <x:v>{"recorded_at": 1789120653, "environment": "production", "regime": "ACTIVE / WEAK", "expectation": "Broad selling pressure is elevated; new longs need caution.", "sample_size": 43, "up_pct": 14.0, "down_pct": 51.2, "active_pct": 86.0, "median_change_pct": -1.61, "median_range_pct": 5.64, "formula": "Liquid non-stable USDT pairs: volume &gt;= 10M; up/down threshold +/-1.5%; active logarithmic range threshold 3.0%; quiet active breadth threshold 35%; median direction threshold +/-1.0%."}</x:v>
      </x:c>
    </x:row>
    <x:row r="88" ht="21" customHeight="1">
      <x:c r="A88" s="8" t="n">
        <x:v>46276.54350694444</x:v>
      </x:c>
      <x:c r="B88" s="10" t="n">
        <x:v>1789120959</x:v>
      </x:c>
      <x:c r="C88" s="3" t="str">
        <x:v>production</x:v>
      </x:c>
      <x:c r="D88" s="3" t="str">
        <x:v>ACTIVE / WEAK</x:v>
      </x:c>
      <x:c r="E88" s="3" t="str">
        <x:v>Broad selling pressure is elevated; new longs need caution.</x:v>
      </x:c>
      <x:c r="F88" s="10" t="n">
        <x:v>43</x:v>
      </x:c>
      <x:c r="G88" s="9" t="n">
        <x:v>14</x:v>
      </x:c>
      <x:c r="H88" s="9" t="n">
        <x:v>55.8</x:v>
      </x:c>
      <x:c r="I88" s="9" t="n">
        <x:v>86</x:v>
      </x:c>
      <x:c r="J88" s="9" t="n">
        <x:v>-1.77</x:v>
      </x:c>
      <x:c r="K88" s="9" t="n">
        <x:v>5.64</x:v>
      </x:c>
      <x:c r="L88" s="3" t="str">
        <x:v>Liquid non-stable USDT pairs: volume &gt;= 10M; up/down threshold +/-1.5%; active logarithmic range threshold 3.0%; quiet active breadth threshold 35%; median direction threshold +/-1.0%.</x:v>
      </x:c>
      <x:c r="M88" s="10" t="n">
        <x:v>743</x:v>
      </x:c>
      <x:c r="N88" s="3" t="str">
        <x:v>{"recorded_at": 1789120959, "environment": "production", "regime": "ACTIVE / WEAK", "expectation": "Broad selling pressure is elevated; new longs need caution.", "sample_size": 43, "up_pct": 14.0, "down_pct": 55.8, "active_pct": 86.0, "median_change_pct": -1.77, "median_range_pct": 5.64, "formula": "Liquid non-stable USDT pairs: volume &gt;= 10M; up/down threshold +/-1.5%; active logarithmic range threshold 3.0%; quiet active breadth threshold 35%; median direction threshold +/-1.0%."}</x:v>
      </x:c>
    </x:row>
    <x:row r="89" ht="21" customHeight="1">
      <x:c r="A89" s="8" t="n">
        <x:v>46276.54384259259</x:v>
      </x:c>
      <x:c r="B89" s="10" t="n">
        <x:v>1789120988</x:v>
      </x:c>
      <x:c r="C89" s="3" t="str">
        <x:v>production</x:v>
      </x:c>
      <x:c r="D89" s="3" t="str">
        <x:v>ACTIVE / WEAK</x:v>
      </x:c>
      <x:c r="E89" s="3" t="str">
        <x:v>Broad selling pressure is elevated; new longs need caution.</x:v>
      </x:c>
      <x:c r="F89" s="10" t="n">
        <x:v>43</x:v>
      </x:c>
      <x:c r="G89" s="9" t="n">
        <x:v>14</x:v>
      </x:c>
      <x:c r="H89" s="9" t="n">
        <x:v>55.8</x:v>
      </x:c>
      <x:c r="I89" s="9" t="n">
        <x:v>86</x:v>
      </x:c>
      <x:c r="J89" s="9" t="n">
        <x:v>-1.77</x:v>
      </x:c>
      <x:c r="K89" s="9" t="n">
        <x:v>5.64</x:v>
      </x:c>
      <x:c r="L89" s="3" t="str">
        <x:v>Liquid non-stable USDT pairs: volume &gt;= 10M; up/down threshold +/-1.5%; active logarithmic range threshold 3.0%; quiet active breadth threshold 35%; median direction threshold +/-1.0%.</x:v>
      </x:c>
      <x:c r="M89" s="10" t="n">
        <x:v>744</x:v>
      </x:c>
      <x:c r="N89" s="3" t="str">
        <x:v>{"recorded_at": 1789120988, "environment": "production", "regime": "ACTIVE / WEAK", "expectation": "Broad selling pressure is elevated; new longs need caution.", "sample_size": 43, "up_pct": 14.0, "down_pct": 55.8, "active_pct": 86.0, "median_change_pct": -1.77, "median_range_pct": 5.64, "formula": "Liquid non-stable USDT pairs: volume &gt;= 10M; up/down threshold +/-1.5%; active logarithmic range threshold 3.0%; quiet active breadth threshold 35%; median direction threshold +/-1.0%."}</x:v>
      </x:c>
    </x:row>
    <x:row r="90" ht="21" customHeight="1">
      <x:c r="A90" s="8" t="n">
        <x:v>46276.55457175926</x:v>
      </x:c>
      <x:c r="B90" s="10" t="n">
        <x:v>1789121915</x:v>
      </x:c>
      <x:c r="C90" s="3" t="str">
        <x:v>production</x:v>
      </x:c>
      <x:c r="D90" s="3" t="str">
        <x:v>ACTIVE / WEAK</x:v>
      </x:c>
      <x:c r="E90" s="3" t="str">
        <x:v>Broad selling pressure is elevated; new longs need caution.</x:v>
      </x:c>
      <x:c r="F90" s="10" t="n">
        <x:v>43</x:v>
      </x:c>
      <x:c r="G90" s="9" t="n">
        <x:v>14</x:v>
      </x:c>
      <x:c r="H90" s="9" t="n">
        <x:v>53.5</x:v>
      </x:c>
      <x:c r="I90" s="9" t="n">
        <x:v>86</x:v>
      </x:c>
      <x:c r="J90" s="9" t="n">
        <x:v>-1.83</x:v>
      </x:c>
      <x:c r="K90" s="9" t="n">
        <x:v>5.52</x:v>
      </x:c>
      <x:c r="L90" s="3" t="str">
        <x:v>Liquid non-stable USDT pairs: volume &gt;= 10M; up/down threshold +/-1.5%; active logarithmic range threshold 3.0%; quiet active breadth threshold 35%; median direction threshold +/-1.0%.</x:v>
      </x:c>
      <x:c r="M90" s="10" t="n">
        <x:v>745</x:v>
      </x:c>
      <x:c r="N90" s="3" t="str">
        <x:v>{"recorded_at": 1789121915, "environment": "production", "regime": "ACTIVE / WEAK", "expectation": "Broad selling pressure is elevated; new longs need caution.", "sample_size": 43, "up_pct": 14.0, "down_pct": 53.5, "active_pct": 86.0, "median_change_pct": -1.83, "median_range_pct": 5.52, "formula": "Liquid non-stable USDT pairs: volume &gt;= 10M; up/down threshold +/-1.5%; active logarithmic range threshold 3.0%; quiet active breadth threshold 35%; median direction threshold +/-1.0%."}</x:v>
      </x:c>
    </x:row>
    <x:row r="91" ht="21" customHeight="1">
      <x:c r="A91" s="8" t="n">
        <x:v>46276.56518518519</x:v>
      </x:c>
      <x:c r="B91" s="10" t="n">
        <x:v>1789122832</x:v>
      </x:c>
      <x:c r="C91" s="3" t="str">
        <x:v>production</x:v>
      </x:c>
      <x:c r="D91" s="3" t="str">
        <x:v>ACTIVE / WEAK</x:v>
      </x:c>
      <x:c r="E91" s="3" t="str">
        <x:v>Broad selling pressure is elevated; new longs need caution.</x:v>
      </x:c>
      <x:c r="F91" s="10" t="n">
        <x:v>44</x:v>
      </x:c>
      <x:c r="G91" s="9" t="n">
        <x:v>13.6</x:v>
      </x:c>
      <x:c r="H91" s="9" t="n">
        <x:v>56.8</x:v>
      </x:c>
      <x:c r="I91" s="9" t="n">
        <x:v>86.4</x:v>
      </x:c>
      <x:c r="J91" s="9" t="n">
        <x:v>-2.35</x:v>
      </x:c>
      <x:c r="K91" s="9" t="n">
        <x:v>5.73</x:v>
      </x:c>
      <x:c r="L91" s="3" t="str">
        <x:v>Liquid non-stable USDT pairs: volume &gt;= 10M; up/down threshold +/-1.5%; active logarithmic range threshold 3.0%; quiet active breadth threshold 35%; median direction threshold +/-1.0%.</x:v>
      </x:c>
      <x:c r="M91" s="10" t="n">
        <x:v>746</x:v>
      </x:c>
      <x:c r="N91" s="3" t="str">
        <x:v>{"recorded_at": 1789122832, "environment": "production", "regime": "ACTIVE / WEAK", "expectation": "Broad selling pressure is elevated; new longs need caution.", "sample_size": 44, "up_pct": 13.6, "down_pct": 56.8, "active_pct": 86.4, "median_change_pct": -2.35, "median_range_pct": 5.73, "formula": "Liquid non-stable USDT pairs: volume &gt;= 10M; up/down threshold +/-1.5%; active logarithmic range threshold 3.0%; quiet active breadth threshold 35%; median direction threshold +/-1.0%."}</x:v>
      </x:c>
    </x:row>
    <x:row r="92" ht="21" customHeight="1">
      <x:c r="A92" s="8" t="n">
        <x:v>46276.5759837963</x:v>
      </x:c>
      <x:c r="B92" s="10" t="n">
        <x:v>1789123765</x:v>
      </x:c>
      <x:c r="C92" s="3" t="str">
        <x:v>production</x:v>
      </x:c>
      <x:c r="D92" s="3" t="str">
        <x:v>ACTIVE / WEAK</x:v>
      </x:c>
      <x:c r="E92" s="3" t="str">
        <x:v>Broad selling pressure is elevated; new longs need caution.</x:v>
      </x:c>
      <x:c r="F92" s="10" t="n">
        <x:v>44</x:v>
      </x:c>
      <x:c r="G92" s="9" t="n">
        <x:v>11.4</x:v>
      </x:c>
      <x:c r="H92" s="9" t="n">
        <x:v>59.1</x:v>
      </x:c>
      <x:c r="I92" s="9" t="n">
        <x:v>86.4</x:v>
      </x:c>
      <x:c r="J92" s="9" t="n">
        <x:v>-2.78</x:v>
      </x:c>
      <x:c r="K92" s="9" t="n">
        <x:v>5.73</x:v>
      </x:c>
      <x:c r="L92" s="3" t="str">
        <x:v>Liquid non-stable USDT pairs: volume &gt;= 10M; up/down threshold +/-1.5%; active logarithmic range threshold 3.0%; quiet active breadth threshold 35%; median direction threshold +/-1.0%.</x:v>
      </x:c>
      <x:c r="M92" s="10" t="n">
        <x:v>747</x:v>
      </x:c>
      <x:c r="N92" s="3" t="str">
        <x:v>{"recorded_at": 1789123765, "environment": "production", "regime": "ACTIVE / WEAK", "expectation": "Broad selling pressure is elevated; new longs need caution.", "sample_size": 44, "up_pct": 11.4, "down_pct": 59.1, "active_pct": 86.4, "median_change_pct": -2.78, "median_range_pct": 5.73, "formula": "Liquid non-stable USDT pairs: volume &gt;= 10M; up/down threshold +/-1.5%; active logarithmic range threshold 3.0%; quiet active breadth threshold 35%; median direction threshold +/-1.0%."}</x:v>
      </x:c>
    </x:row>
    <x:row r="93" ht="21" customHeight="1">
      <x:c r="A93" s="8" t="n">
        <x:v>46276.58642361111</x:v>
      </x:c>
      <x:c r="B93" s="10" t="n">
        <x:v>1789124667</x:v>
      </x:c>
      <x:c r="C93" s="3" t="str">
        <x:v>production</x:v>
      </x:c>
      <x:c r="D93" s="3" t="str">
        <x:v>ACTIVE / WEAK</x:v>
      </x:c>
      <x:c r="E93" s="3" t="str">
        <x:v>Broad selling pressure is elevated; new longs need caution.</x:v>
      </x:c>
      <x:c r="F93" s="10" t="n">
        <x:v>44</x:v>
      </x:c>
      <x:c r="G93" s="9" t="n">
        <x:v>11.4</x:v>
      </x:c>
      <x:c r="H93" s="9" t="n">
        <x:v>61.4</x:v>
      </x:c>
      <x:c r="I93" s="9" t="n">
        <x:v>86.4</x:v>
      </x:c>
      <x:c r="J93" s="9" t="n">
        <x:v>-2.63</x:v>
      </x:c>
      <x:c r="K93" s="9" t="n">
        <x:v>6.02</x:v>
      </x:c>
      <x:c r="L93" s="3" t="str">
        <x:v>Liquid non-stable USDT pairs: volume &gt;= 10M; up/down threshold +/-1.5%; active logarithmic range threshold 3.0%; quiet active breadth threshold 35%; median direction threshold +/-1.0%.</x:v>
      </x:c>
      <x:c r="M93" s="10" t="n">
        <x:v>748</x:v>
      </x:c>
      <x:c r="N93" s="3" t="str">
        <x:v>{"recorded_at": 1789124667, "environment": "production", "regime": "ACTIVE / WEAK", "expectation": "Broad selling pressure is elevated; new longs need caution.", "sample_size": 44, "up_pct": 11.4, "down_pct": 61.4, "active_pct": 86.4, "median_change_pct": -2.63, "median_range_pct": 6.02, "formula": "Liquid non-stable USDT pairs: volume &gt;= 10M; up/down threshold +/-1.5%; active logarithmic range threshold 3.0%; quiet active breadth threshold 35%; median direction threshold +/-1.0%."}</x:v>
      </x:c>
    </x:row>
    <x:row r="94" ht="21" customHeight="1">
      <x:c r="A94" s="8" t="n">
        <x:v>46276.5971412037</x:v>
      </x:c>
      <x:c r="B94" s="10" t="n">
        <x:v>1789125593</x:v>
      </x:c>
      <x:c r="C94" s="3" t="str">
        <x:v>production</x:v>
      </x:c>
      <x:c r="D94" s="3" t="str">
        <x:v>ACTIVE / WEAK</x:v>
      </x:c>
      <x:c r="E94" s="3" t="str">
        <x:v>Broad selling pressure is elevated; new longs need caution.</x:v>
      </x:c>
      <x:c r="F94" s="10" t="n">
        <x:v>45</x:v>
      </x:c>
      <x:c r="G94" s="9" t="n">
        <x:v>11.1</x:v>
      </x:c>
      <x:c r="H94" s="9" t="n">
        <x:v>64.4</x:v>
      </x:c>
      <x:c r="I94" s="9" t="n">
        <x:v>86.7</x:v>
      </x:c>
      <x:c r="J94" s="9" t="n">
        <x:v>-3.23</x:v>
      </x:c>
      <x:c r="K94" s="9" t="n">
        <x:v>6.61</x:v>
      </x:c>
      <x:c r="L94" s="3" t="str">
        <x:v>Liquid non-stable USDT pairs: volume &gt;= 10M; up/down threshold +/-1.5%; active logarithmic range threshold 3.0%; quiet active breadth threshold 35%; median direction threshold +/-1.0%.</x:v>
      </x:c>
      <x:c r="M94" s="10" t="n">
        <x:v>749</x:v>
      </x:c>
      <x:c r="N94" s="3" t="str">
        <x:v>{"recorded_at": 1789125593, "environment": "production", "regime": "ACTIVE / WEAK", "expectation": "Broad selling pressure is elevated; new longs need caution.", "sample_size": 45, "up_pct": 11.1, "down_pct": 64.4, "active_pct": 86.7, "median_change_pct": -3.23, "median_range_pct": 6.61, "formula": "Liquid non-stable USDT pairs: volume &gt;= 10M; up/down threshold +/-1.5%; active logarithmic range threshold 3.0%; quiet active breadth threshold 35%; median direction threshold +/-1.0%."}</x:v>
      </x:c>
    </x:row>
    <x:row r="95" ht="21" customHeight="1">
      <x:c r="A95" s="8" t="n">
        <x:v>46276.607824074075</x:v>
      </x:c>
      <x:c r="B95" s="10" t="n">
        <x:v>1789126516</x:v>
      </x:c>
      <x:c r="C95" s="3" t="str">
        <x:v>production</x:v>
      </x:c>
      <x:c r="D95" s="3" t="str">
        <x:v>ACTIVE / WEAK</x:v>
      </x:c>
      <x:c r="E95" s="3" t="str">
        <x:v>Broad selling pressure is elevated; new longs need caution.</x:v>
      </x:c>
      <x:c r="F95" s="10" t="n">
        <x:v>46</x:v>
      </x:c>
      <x:c r="G95" s="9" t="n">
        <x:v>10.9</x:v>
      </x:c>
      <x:c r="H95" s="9" t="n">
        <x:v>65.2</x:v>
      </x:c>
      <x:c r="I95" s="9" t="n">
        <x:v>87</x:v>
      </x:c>
      <x:c r="J95" s="9" t="n">
        <x:v>-3.25</x:v>
      </x:c>
      <x:c r="K95" s="9" t="n">
        <x:v>6.61</x:v>
      </x:c>
      <x:c r="L95" s="3" t="str">
        <x:v>Liquid non-stable USDT pairs: volume &gt;= 10M; up/down threshold +/-1.5%; active logarithmic range threshold 3.0%; quiet active breadth threshold 35%; median direction threshold +/-1.0%.</x:v>
      </x:c>
      <x:c r="M95" s="10" t="n">
        <x:v>750</x:v>
      </x:c>
      <x:c r="N95" s="3" t="str">
        <x:v>{"recorded_at": 1789126516, "environment": "production", "regime": "ACTIVE / WEAK", "expectation": "Broad selling pressure is elevated; new longs need caution.", "sample_size": 46, "up_pct": 10.9, "down_pct": 65.2, "active_pct": 87.0, "median_change_pct": -3.25, "median_range_pct": 6.61, "formula": "Liquid non-stable USDT pairs: volume &gt;= 10M; up/down threshold +/-1.5%; active logarithmic range threshold 3.0%; quiet active breadth threshold 35%; median direction threshold +/-1.0%."}</x:v>
      </x:c>
    </x:row>
    <x:row r="96" ht="21" customHeight="1">
      <x:c r="A96" s="8" t="n">
        <x:v>46276.61832175926</x:v>
      </x:c>
      <x:c r="B96" s="10" t="n">
        <x:v>1789127423</x:v>
      </x:c>
      <x:c r="C96" s="3" t="str">
        <x:v>production</x:v>
      </x:c>
      <x:c r="D96" s="3" t="str">
        <x:v>ACTIVE / WEAK</x:v>
      </x:c>
      <x:c r="E96" s="3" t="str">
        <x:v>Broad selling pressure is elevated; new longs need caution.</x:v>
      </x:c>
      <x:c r="F96" s="10" t="n">
        <x:v>45</x:v>
      </x:c>
      <x:c r="G96" s="9" t="n">
        <x:v>8.9</x:v>
      </x:c>
      <x:c r="H96" s="9" t="n">
        <x:v>62.2</x:v>
      </x:c>
      <x:c r="I96" s="9" t="n">
        <x:v>84.4</x:v>
      </x:c>
      <x:c r="J96" s="9" t="n">
        <x:v>-2.84</x:v>
      </x:c>
      <x:c r="K96" s="9" t="n">
        <x:v>6.18</x:v>
      </x:c>
      <x:c r="L96" s="3" t="str">
        <x:v>Liquid non-stable USDT pairs: volume &gt;= 10M; up/down threshold +/-1.5%; active logarithmic range threshold 3.0%; quiet active breadth threshold 35%; median direction threshold +/-1.0%.</x:v>
      </x:c>
      <x:c r="M96" s="10" t="n">
        <x:v>751</x:v>
      </x:c>
      <x:c r="N96" s="3" t="str">
        <x:v>{"recorded_at": 1789127423, "environment": "production", "regime": "ACTIVE / WEAK", "expectation": "Broad selling pressure is elevated; new longs need caution.", "sample_size": 45, "up_pct": 8.9, "down_pct": 62.2, "active_pct": 84.4, "median_change_pct": -2.84, "median_range_pct": 6.18, "formula": "Liquid non-stable USDT pairs: volume &gt;= 10M; up/down threshold +/-1.5%; active logarithmic range threshold 3.0%; quiet active breadth threshold 35%; median direction threshold +/-1.0%."}</x:v>
      </x:c>
    </x:row>
    <x:row r="97" ht="21" customHeight="1">
      <x:c r="A97" s="8" t="n">
        <x:v>46276.62894675926</x:v>
      </x:c>
      <x:c r="B97" s="10" t="n">
        <x:v>1789128341</x:v>
      </x:c>
      <x:c r="C97" s="3" t="str">
        <x:v>production</x:v>
      </x:c>
      <x:c r="D97" s="3" t="str">
        <x:v>ACTIVE / WEAK</x:v>
      </x:c>
      <x:c r="E97" s="3" t="str">
        <x:v>Broad selling pressure is elevated; new longs need caution.</x:v>
      </x:c>
      <x:c r="F97" s="10" t="n">
        <x:v>45</x:v>
      </x:c>
      <x:c r="G97" s="9" t="n">
        <x:v>13.3</x:v>
      </x:c>
      <x:c r="H97" s="9" t="n">
        <x:v>62.2</x:v>
      </x:c>
      <x:c r="I97" s="9" t="n">
        <x:v>84.4</x:v>
      </x:c>
      <x:c r="J97" s="9" t="n">
        <x:v>-2.79</x:v>
      </x:c>
      <x:c r="K97" s="9" t="n">
        <x:v>6.18</x:v>
      </x:c>
      <x:c r="L97" s="3" t="str">
        <x:v>Liquid non-stable USDT pairs: volume &gt;= 10M; up/down threshold +/-1.5%; active logarithmic range threshold 3.0%; quiet active breadth threshold 35%; median direction threshold +/-1.0%.</x:v>
      </x:c>
      <x:c r="M97" s="10" t="n">
        <x:v>752</x:v>
      </x:c>
      <x:c r="N97" s="3" t="str">
        <x:v>{"recorded_at": 1789128341, "environment": "production", "regime": "ACTIVE / WEAK", "expectation": "Broad selling pressure is elevated; new longs need caution.", "sample_size": 45, "up_pct": 13.3, "down_pct": 62.2, "active_pct": 84.4, "median_change_pct": -2.79, "median_range_pct": 6.18, "formula": "Liquid non-stable USDT pairs: volume &gt;= 10M; up/down threshold +/-1.5%; active logarithmic range threshold 3.0%; quiet active breadth threshold 35%; median direction threshold +/-1.0%."}</x:v>
      </x:c>
    </x:row>
    <x:row r="98" ht="21" customHeight="1">
      <x:c r="A98" s="8" t="n">
        <x:v>46276.63947916667</x:v>
      </x:c>
      <x:c r="B98" s="10" t="n">
        <x:v>1789129251</x:v>
      </x:c>
      <x:c r="C98" s="3" t="str">
        <x:v>production</x:v>
      </x:c>
      <x:c r="D98" s="3" t="str">
        <x:v>ACTIVE / WEAK</x:v>
      </x:c>
      <x:c r="E98" s="3" t="str">
        <x:v>Broad selling pressure is elevated; new longs need caution.</x:v>
      </x:c>
      <x:c r="F98" s="10" t="n">
        <x:v>45</x:v>
      </x:c>
      <x:c r="G98" s="9" t="n">
        <x:v>11.1</x:v>
      </x:c>
      <x:c r="H98" s="9" t="n">
        <x:v>62.2</x:v>
      </x:c>
      <x:c r="I98" s="9" t="n">
        <x:v>84.4</x:v>
      </x:c>
      <x:c r="J98" s="9" t="n">
        <x:v>-2.8</x:v>
      </x:c>
      <x:c r="K98" s="9" t="n">
        <x:v>6.18</x:v>
      </x:c>
      <x:c r="L98" s="3" t="str">
        <x:v>Liquid non-stable USDT pairs: volume &gt;= 10M; up/down threshold +/-1.5%; active logarithmic range threshold 3.0%; quiet active breadth threshold 35%; median direction threshold +/-1.0%.</x:v>
      </x:c>
      <x:c r="M98" s="10" t="n">
        <x:v>753</x:v>
      </x:c>
      <x:c r="N98" s="3" t="str">
        <x:v>{"recorded_at": 1789129251, "environment": "production", "regime": "ACTIVE / WEAK", "expectation": "Broad selling pressure is elevated; new longs need caution.", "sample_size": 45, "up_pct": 11.1, "down_pct": 62.2, "active_pct": 84.4, "median_change_pct": -2.8, "median_range_pct": 6.18, "formula": "Liquid non-stable USDT pairs: volume &gt;= 10M; up/down threshold +/-1.5%; active logarithmic range threshold 3.0%; quiet active breadth threshold 35%; median direction threshold +/-1.0%."}</x:v>
      </x:c>
    </x:row>
    <x:row r="99" ht="21" customHeight="1">
      <x:c r="A99" s="8" t="n">
        <x:v>46276.649988425925</x:v>
      </x:c>
      <x:c r="B99" s="10" t="n">
        <x:v>1789130159</x:v>
      </x:c>
      <x:c r="C99" s="3" t="str">
        <x:v>production</x:v>
      </x:c>
      <x:c r="D99" s="3" t="str">
        <x:v>ACTIVE / MIXED</x:v>
      </x:c>
      <x:c r="E99" s="3" t="str">
        <x:v>Movement is sufficient, but market direction is divided.</x:v>
      </x:c>
      <x:c r="F99" s="10" t="n">
        <x:v>46</x:v>
      </x:c>
      <x:c r="G99" s="9" t="n">
        <x:v>15.2</x:v>
      </x:c>
      <x:c r="H99" s="9" t="n">
        <x:v>43.5</x:v>
      </x:c>
      <x:c r="I99" s="9" t="n">
        <x:v>84.8</x:v>
      </x:c>
      <x:c r="J99" s="9" t="n">
        <x:v>-0.77</x:v>
      </x:c>
      <x:c r="K99" s="9" t="n">
        <x:v>6.4</x:v>
      </x:c>
      <x:c r="L99" s="3" t="str">
        <x:v>Liquid non-stable USDT pairs: volume &gt;= 10M; up/down threshold +/-1.5%; active logarithmic range threshold 3.0%; quiet active breadth threshold 35%; median direction threshold +/-1.0%.</x:v>
      </x:c>
      <x:c r="M99" s="10" t="n">
        <x:v>754</x:v>
      </x:c>
      <x:c r="N99" s="3" t="str">
        <x:v>{"recorded_at": 1789130159, "environment": "production", "regime": "ACTIVE / MIXED", "expectation": "Movement is sufficient, but market direction is divided.", "sample_size": 46, "up_pct": 15.2, "down_pct": 43.5, "active_pct": 84.8, "median_change_pct": -0.77, "median_range_pct": 6.4, "formula": "Liquid non-stable USDT pairs: volume &gt;= 10M; up/down threshold +/-1.5%; active logarithmic range threshold 3.0%; quiet active breadth threshold 35%; median direction threshold +/-1.0%."}</x:v>
      </x:c>
    </x:row>
    <x:row r="100" ht="21" customHeight="1">
      <x:c r="A100" s="8" t="n">
        <x:v>46276.66056712963</x:v>
      </x:c>
      <x:c r="B100" s="10" t="n">
        <x:v>1789131073</x:v>
      </x:c>
      <x:c r="C100" s="3" t="str">
        <x:v>production</x:v>
      </x:c>
      <x:c r="D100" s="3" t="str">
        <x:v>ACTIVE / MIXED</x:v>
      </x:c>
      <x:c r="E100" s="3" t="str">
        <x:v>Movement is sufficient, but market direction is divided.</x:v>
      </x:c>
      <x:c r="F100" s="10" t="n">
        <x:v>47</x:v>
      </x:c>
      <x:c r="G100" s="9" t="n">
        <x:v>34</x:v>
      </x:c>
      <x:c r="H100" s="9" t="n">
        <x:v>21.3</x:v>
      </x:c>
      <x:c r="I100" s="9" t="n">
        <x:v>87.2</x:v>
      </x:c>
      <x:c r="J100" s="9" t="n">
        <x:v>0.49</x:v>
      </x:c>
      <x:c r="K100" s="9" t="n">
        <x:v>6.28</x:v>
      </x:c>
      <x:c r="L100" s="3" t="str">
        <x:v>Liquid non-stable USDT pairs: volume &gt;= 10M; up/down threshold +/-1.5%; active logarithmic range threshold 3.0%; quiet active breadth threshold 35%; median direction threshold +/-1.0%.</x:v>
      </x:c>
      <x:c r="M100" s="10" t="n">
        <x:v>755</x:v>
      </x:c>
      <x:c r="N100" s="3" t="str">
        <x:v>{"recorded_at": 1789131073, "environment": "production", "regime": "ACTIVE / MIXED", "expectation": "Movement is sufficient, but market direction is divided.", "sample_size": 47, "up_pct": 34.0, "down_pct": 21.3, "active_pct": 87.2, "median_change_pct": 0.49, "median_range_pct": 6.28, "formula": "Liquid non-stable USDT pairs: volume &gt;= 10M; up/down threshold +/-1.5%; active logarithmic range threshold 3.0%; quiet active breadth threshold 35%; median direction threshold +/-1.0%."}</x:v>
      </x:c>
    </x:row>
    <x:row r="101" ht="21" customHeight="1">
      <x:c r="A101" s="8" t="n">
        <x:v>46276.67135416667</x:v>
      </x:c>
      <x:c r="B101" s="10" t="n">
        <x:v>1789132005</x:v>
      </x:c>
      <x:c r="C101" s="3" t="str">
        <x:v>production</x:v>
      </x:c>
      <x:c r="D101" s="3" t="str">
        <x:v>ACTIVE / MIXED</x:v>
      </x:c>
      <x:c r="E101" s="3" t="str">
        <x:v>Movement is sufficient, but market direction is divided.</x:v>
      </x:c>
      <x:c r="F101" s="10" t="n">
        <x:v>48</x:v>
      </x:c>
      <x:c r="G101" s="9" t="n">
        <x:v>37.5</x:v>
      </x:c>
      <x:c r="H101" s="9" t="n">
        <x:v>22.9</x:v>
      </x:c>
      <x:c r="I101" s="9" t="n">
        <x:v>87.5</x:v>
      </x:c>
      <x:c r="J101" s="9" t="n">
        <x:v>0.78</x:v>
      </x:c>
      <x:c r="K101" s="9" t="n">
        <x:v>6.46</x:v>
      </x:c>
      <x:c r="L101" s="3" t="str">
        <x:v>Liquid non-stable USDT pairs: volume &gt;= 10M; up/down threshold +/-1.5%; active logarithmic range threshold 3.0%; quiet active breadth threshold 35%; median direction threshold +/-1.0%.</x:v>
      </x:c>
      <x:c r="M101" s="10" t="n">
        <x:v>756</x:v>
      </x:c>
      <x:c r="N101" s="3" t="str">
        <x:v>{"recorded_at": 1789132005, "environment": "production", "regime": "ACTIVE / MIXED", "expectation": "Movement is sufficient, but market direction is divided.", "sample_size": 48, "up_pct": 37.5, "down_pct": 22.9, "active_pct": 87.5, "median_change_pct": 0.78, "median_range_pct": 6.46, "formula": "Liquid non-stable USDT pairs: volume &gt;= 10M; up/down threshold +/-1.5%; active logarithmic range threshold 3.0%; quiet active breadth threshold 35%; median direction threshold +/-1.0%."}</x:v>
      </x:c>
    </x:row>
    <x:row r="102" ht="21" customHeight="1">
      <x:c r="A102" s="8" t="n">
        <x:v>46276.68185185185</x:v>
      </x:c>
      <x:c r="B102" s="10" t="n">
        <x:v>1789132912</x:v>
      </x:c>
      <x:c r="C102" s="3" t="str">
        <x:v>production</x:v>
      </x:c>
      <x:c r="D102" s="3" t="str">
        <x:v>ACTIVE / MIXED</x:v>
      </x:c>
      <x:c r="E102" s="3" t="str">
        <x:v>Movement is sufficient, but market direction is divided.</x:v>
      </x:c>
      <x:c r="F102" s="10" t="n">
        <x:v>47</x:v>
      </x:c>
      <x:c r="G102" s="9" t="n">
        <x:v>38.3</x:v>
      </x:c>
      <x:c r="H102" s="9" t="n">
        <x:v>14.9</x:v>
      </x:c>
      <x:c r="I102" s="9" t="n">
        <x:v>87.2</x:v>
      </x:c>
      <x:c r="J102" s="9" t="n">
        <x:v>0.69</x:v>
      </x:c>
      <x:c r="K102" s="9" t="n">
        <x:v>6.28</x:v>
      </x:c>
      <x:c r="L102" s="3" t="str">
        <x:v>Liquid non-stable USDT pairs: volume &gt;= 10M; up/down threshold +/-1.5%; active logarithmic range threshold 3.0%; quiet active breadth threshold 35%; median direction threshold +/-1.0%.</x:v>
      </x:c>
      <x:c r="M102" s="10" t="n">
        <x:v>757</x:v>
      </x:c>
      <x:c r="N102" s="3" t="str">
        <x:v>{"recorded_at": 1789132912, "environment": "production", "regime": "ACTIVE / MIXED", "expectation": "Movement is sufficient, but market direction is divided.", "sample_size": 47, "up_pct": 38.3, "down_pct": 14.9, "active_pct": 87.2, "median_change_pct": 0.69, "median_range_pct": 6.28, "formula": "Liquid non-stable USDT pairs: volume &gt;= 10M; up/down threshold +/-1.5%; active logarithmic range threshold 3.0%; quiet active breadth threshold 35%; median direction threshold +/-1.0%."}</x:v>
      </x:c>
    </x:row>
    <x:row r="103" ht="21" customHeight="1">
      <x:c r="A103" s="8" t="n">
        <x:v>46276.69274305556</x:v>
      </x:c>
      <x:c r="B103" s="10" t="n">
        <x:v>1789133853</x:v>
      </x:c>
      <x:c r="C103" s="3" t="str">
        <x:v>production</x:v>
      </x:c>
      <x:c r="D103" s="3" t="str">
        <x:v>ACTIVE / MIXED</x:v>
      </x:c>
      <x:c r="E103" s="3" t="str">
        <x:v>Movement is sufficient, but market direction is divided.</x:v>
      </x:c>
      <x:c r="F103" s="10" t="n">
        <x:v>47</x:v>
      </x:c>
      <x:c r="G103" s="9" t="n">
        <x:v>21.3</x:v>
      </x:c>
      <x:c r="H103" s="9" t="n">
        <x:v>31.9</x:v>
      </x:c>
      <x:c r="I103" s="9" t="n">
        <x:v>87.2</x:v>
      </x:c>
      <x:c r="J103" s="9" t="n">
        <x:v>0</x:v>
      </x:c>
      <x:c r="K103" s="9" t="n">
        <x:v>5.91</x:v>
      </x:c>
      <x:c r="L103" s="3" t="str">
        <x:v>Liquid non-stable USDT pairs: volume &gt;= 10M; up/down threshold +/-1.5%; active logarithmic range threshold 3.0%; quiet active breadth threshold 35%; median direction threshold +/-1.0%.</x:v>
      </x:c>
      <x:c r="M103" s="10" t="n">
        <x:v>758</x:v>
      </x:c>
      <x:c r="N103" s="3" t="str">
        <x:v>{"recorded_at": 1789133853, "environment": "production", "regime": "ACTIVE / MIXED", "expectation": "Movement is sufficient, but market direction is divided.", "sample_size": 47, "up_pct": 21.3, "down_pct": 31.9, "active_pct": 87.2, "median_change_pct": 0.0, "median_range_pct": 5.91, "formula": "Liquid non-stable USDT pairs: volume &gt;= 10M; up/down threshold +/-1.5%; active logarithmic range threshold 3.0%; quiet active breadth threshold 35%; median direction threshold +/-1.0%."}</x:v>
      </x:c>
    </x:row>
    <x:row r="104" ht="21" customHeight="1">
      <x:c r="A104" s="8" t="n">
        <x:v>46276.70358796296</x:v>
      </x:c>
      <x:c r="B104" s="10" t="n">
        <x:v>1789134790</x:v>
      </x:c>
      <x:c r="C104" s="3" t="str">
        <x:v>production</x:v>
      </x:c>
      <x:c r="D104" s="3" t="str">
        <x:v>ACTIVE / POSITIVE</x:v>
      </x:c>
      <x:c r="E104" s="3" t="str">
        <x:v>Broad momentum is positive; still require entry confirmation.</x:v>
      </x:c>
      <x:c r="F104" s="10" t="n">
        <x:v>47</x:v>
      </x:c>
      <x:c r="G104" s="9" t="n">
        <x:v>57.4</x:v>
      </x:c>
      <x:c r="H104" s="9" t="n">
        <x:v>14.9</x:v>
      </x:c>
      <x:c r="I104" s="9" t="n">
        <x:v>91.5</x:v>
      </x:c>
      <x:c r="J104" s="9" t="n">
        <x:v>2.27</x:v>
      </x:c>
      <x:c r="K104" s="9" t="n">
        <x:v>6.98</x:v>
      </x:c>
      <x:c r="L104" s="3" t="str">
        <x:v>Liquid non-stable USDT pairs: volume &gt;= 10M; up/down threshold +/-1.5%; active logarithmic range threshold 3.0%; quiet active breadth threshold 35%; median direction threshold +/-1.0%.</x:v>
      </x:c>
      <x:c r="M104" s="10" t="n">
        <x:v>759</x:v>
      </x:c>
      <x:c r="N104" s="3" t="str">
        <x:v>{"recorded_at": 1789134790, "environment": "production", "regime": "ACTIVE / POSITIVE", "expectation": "Broad momentum is positive; still require entry confirmation.", "sample_size": 47, "up_pct": 57.4, "down_pct": 14.9, "active_pct": 91.5, "median_change_pct": 2.27, "median_range_pct": 6.98, "formula": "Liquid non-stable USDT pairs: volume &gt;= 10M; up/down threshold +/-1.5%; active logarithmic range threshold 3.0%; quiet active breadth threshold 35%; median direction threshold +/-1.0%."}</x:v>
      </x:c>
    </x:row>
    <x:row r="105" ht="21" customHeight="1">
      <x:c r="A105" s="8" t="n">
        <x:v>46276.71439814815</x:v>
      </x:c>
      <x:c r="B105" s="10" t="n">
        <x:v>1789135724</x:v>
      </x:c>
      <x:c r="C105" s="3" t="str">
        <x:v>production</x:v>
      </x:c>
      <x:c r="D105" s="3" t="str">
        <x:v>ACTIVE / POSITIVE</x:v>
      </x:c>
      <x:c r="E105" s="3" t="str">
        <x:v>Broad momentum is positive; still require entry confirmation.</x:v>
      </x:c>
      <x:c r="F105" s="10" t="n">
        <x:v>48</x:v>
      </x:c>
      <x:c r="G105" s="9" t="n">
        <x:v>62.5</x:v>
      </x:c>
      <x:c r="H105" s="9" t="n">
        <x:v>14.6</x:v>
      </x:c>
      <x:c r="I105" s="9" t="n">
        <x:v>91.7</x:v>
      </x:c>
      <x:c r="J105" s="9" t="n">
        <x:v>3.04</x:v>
      </x:c>
      <x:c r="K105" s="9" t="n">
        <x:v>8.63</x:v>
      </x:c>
      <x:c r="L105" s="3" t="str">
        <x:v>Liquid non-stable USDT pairs: volume &gt;= 10M; up/down threshold +/-1.5%; active logarithmic range threshold 3.0%; quiet active breadth threshold 35%; median direction threshold +/-1.0%.</x:v>
      </x:c>
      <x:c r="M105" s="10" t="n">
        <x:v>760</x:v>
      </x:c>
      <x:c r="N105" s="3" t="str">
        <x:v>{"recorded_at": 1789135724, "environment": "production", "regime": "ACTIVE / POSITIVE", "expectation": "Broad momentum is positive; still require entry confirmation.", "sample_size": 48, "up_pct": 62.5, "down_pct": 14.6, "active_pct": 91.7, "median_change_pct": 3.04, "median_range_pct": 8.63, "formula": "Liquid non-stable USDT pairs: volume &gt;= 10M; up/down threshold +/-1.5%; active logarithmic range threshold 3.0%; quiet active breadth threshold 35%; median direction threshold +/-1.0%."}</x:v>
      </x:c>
    </x:row>
    <x:row r="106" ht="21" customHeight="1">
      <x:c r="A106" s="8" t="n">
        <x:v>46276.72498842593</x:v>
      </x:c>
      <x:c r="B106" s="10" t="n">
        <x:v>1789136639</x:v>
      </x:c>
      <x:c r="C106" s="3" t="str">
        <x:v>production</x:v>
      </x:c>
      <x:c r="D106" s="3" t="str">
        <x:v>ACTIVE / POSITIVE</x:v>
      </x:c>
      <x:c r="E106" s="3" t="str">
        <x:v>Broad momentum is positive; still require entry confirmation.</x:v>
      </x:c>
      <x:c r="F106" s="10" t="n">
        <x:v>49</x:v>
      </x:c>
      <x:c r="G106" s="9" t="n">
        <x:v>63.3</x:v>
      </x:c>
      <x:c r="H106" s="9" t="n">
        <x:v>10.2</x:v>
      </x:c>
      <x:c r="I106" s="9" t="n">
        <x:v>91.8</x:v>
      </x:c>
      <x:c r="J106" s="9" t="n">
        <x:v>2.58</x:v>
      </x:c>
      <x:c r="K106" s="9" t="n">
        <x:v>8.62</x:v>
      </x:c>
      <x:c r="L106" s="3" t="str">
        <x:v>Liquid non-stable USDT pairs: volume &gt;= 10M; up/down threshold +/-1.5%; active logarithmic range threshold 3.0%; quiet active breadth threshold 35%; median direction threshold +/-1.0%.</x:v>
      </x:c>
      <x:c r="M106" s="10" t="n">
        <x:v>761</x:v>
      </x:c>
      <x:c r="N106" s="3" t="str">
        <x:v>{"recorded_at": 1789136639, "environment": "production", "regime": "ACTIVE / POSITIVE", "expectation": "Broad momentum is positive; still require entry confirmation.", "sample_size": 49, "up_pct": 63.3, "down_pct": 10.2, "active_pct": 91.8, "median_change_pct": 2.58, "median_range_pct": 8.62, "formula": "Liquid non-stable USDT pairs: volume &gt;= 10M; up/down threshold +/-1.5%; active logarithmic range threshold 3.0%; quiet active breadth threshold 35%; median direction threshold +/-1.0%."}</x:v>
      </x:c>
    </x:row>
    <x:row r="107" ht="21" customHeight="1">
      <x:c r="A107" s="8" t="n">
        <x:v>46276.735497685186</x:v>
      </x:c>
      <x:c r="B107" s="10" t="n">
        <x:v>1789137547</x:v>
      </x:c>
      <x:c r="C107" s="3" t="str">
        <x:v>production</x:v>
      </x:c>
      <x:c r="D107" s="3" t="str">
        <x:v>ACTIVE / POSITIVE</x:v>
      </x:c>
      <x:c r="E107" s="3" t="str">
        <x:v>Broad momentum is positive; still require entry confirmation.</x:v>
      </x:c>
      <x:c r="F107" s="10" t="n">
        <x:v>49</x:v>
      </x:c>
      <x:c r="G107" s="9" t="n">
        <x:v>53.1</x:v>
      </x:c>
      <x:c r="H107" s="9" t="n">
        <x:v>16.3</x:v>
      </x:c>
      <x:c r="I107" s="9" t="n">
        <x:v>91.8</x:v>
      </x:c>
      <x:c r="J107" s="9" t="n">
        <x:v>1.84</x:v>
      </x:c>
      <x:c r="K107" s="9" t="n">
        <x:v>8.49</x:v>
      </x:c>
      <x:c r="L107" s="3" t="str">
        <x:v>Liquid non-stable USDT pairs: volume &gt;= 10M; up/down threshold +/-1.5%; active logarithmic range threshold 3.0%; quiet active breadth threshold 35%; median direction threshold +/-1.0%.</x:v>
      </x:c>
      <x:c r="M107" s="10" t="n">
        <x:v>762</x:v>
      </x:c>
      <x:c r="N107" s="3" t="str">
        <x:v>{"recorded_at": 1789137547, "environment": "production", "regime": "ACTIVE / POSITIVE", "expectation": "Broad momentum is positive; still require entry confirmation.", "sample_size": 49, "up_pct": 53.1, "down_pct": 16.3, "active_pct": 91.8, "median_change_pct": 1.84, "median_range_pct": 8.49, "formula": "Liquid non-stable USDT pairs: volume &gt;= 10M; up/down threshold +/-1.5%; active logarithmic range threshold 3.0%; quiet active breadth threshold 35%; median direction threshold +/-1.0%."}</x:v>
      </x:c>
    </x:row>
    <x:row r="108" ht="21" customHeight="1">
      <x:c r="A108" s="8" t="n">
        <x:v>46276.74592592593</x:v>
      </x:c>
      <x:c r="B108" s="10" t="n">
        <x:v>1789138448</x:v>
      </x:c>
      <x:c r="C108" s="3" t="str">
        <x:v>production</x:v>
      </x:c>
      <x:c r="D108" s="3" t="str">
        <x:v>ACTIVE / POSITIVE</x:v>
      </x:c>
      <x:c r="E108" s="3" t="str">
        <x:v>Broad momentum is positive; still require entry confirmation.</x:v>
      </x:c>
      <x:c r="F108" s="10" t="n">
        <x:v>49</x:v>
      </x:c>
      <x:c r="G108" s="9" t="n">
        <x:v>55.1</x:v>
      </x:c>
      <x:c r="H108" s="9" t="n">
        <x:v>16.3</x:v>
      </x:c>
      <x:c r="I108" s="9" t="n">
        <x:v>91.8</x:v>
      </x:c>
      <x:c r="J108" s="9" t="n">
        <x:v>2.03</x:v>
      </x:c>
      <x:c r="K108" s="9" t="n">
        <x:v>8.49</x:v>
      </x:c>
      <x:c r="L108" s="3" t="str">
        <x:v>Liquid non-stable USDT pairs: volume &gt;= 10M; up/down threshold +/-1.5%; active logarithmic range threshold 3.0%; quiet active breadth threshold 35%; median direction threshold +/-1.0%.</x:v>
      </x:c>
      <x:c r="M108" s="10" t="n">
        <x:v>763</x:v>
      </x:c>
      <x:c r="N108" s="3" t="str">
        <x:v>{"recorded_at": 1789138448, "environment": "production", "regime": "ACTIVE / POSITIVE", "expectation": "Broad momentum is positive; still require entry confirmation.", "sample_size": 49, "up_pct": 55.1, "down_pct": 16.3, "active_pct": 91.8, "median_change_pct": 2.03, "median_range_pct": 8.49, "formula": "Liquid non-stable USDT pairs: volume &gt;= 10M; up/down threshold +/-1.5%; active logarithmic range threshold 3.0%; quiet active breadth threshold 35%; median direction threshold +/-1.0%."}</x:v>
      </x:c>
    </x:row>
    <x:row r="109" ht="21" customHeight="1">
      <x:c r="A109" s="8" t="n">
        <x:v>46276.75670138889</x:v>
      </x:c>
      <x:c r="B109" s="10" t="n">
        <x:v>1789139379</x:v>
      </x:c>
      <x:c r="C109" s="3" t="str">
        <x:v>production</x:v>
      </x:c>
      <x:c r="D109" s="3" t="str">
        <x:v>ACTIVE / POSITIVE</x:v>
      </x:c>
      <x:c r="E109" s="3" t="str">
        <x:v>Broad momentum is positive; still require entry confirmation.</x:v>
      </x:c>
      <x:c r="F109" s="10" t="n">
        <x:v>48</x:v>
      </x:c>
      <x:c r="G109" s="9" t="n">
        <x:v>56.2</x:v>
      </x:c>
      <x:c r="H109" s="9" t="n">
        <x:v>22.9</x:v>
      </x:c>
      <x:c r="I109" s="9" t="n">
        <x:v>91.7</x:v>
      </x:c>
      <x:c r="J109" s="9" t="n">
        <x:v>2.02</x:v>
      </x:c>
      <x:c r="K109" s="9" t="n">
        <x:v>8.56</x:v>
      </x:c>
      <x:c r="L109" s="3" t="str">
        <x:v>Liquid non-stable USDT pairs: volume &gt;= 10M; up/down threshold +/-1.5%; active logarithmic range threshold 3.0%; quiet active breadth threshold 35%; median direction threshold +/-1.0%.</x:v>
      </x:c>
      <x:c r="M109" s="10" t="n">
        <x:v>764</x:v>
      </x:c>
      <x:c r="N109" s="3" t="str">
        <x:v>{"recorded_at": 1789139379, "environment": "production", "regime": "ACTIVE / POSITIVE", "expectation": "Broad momentum is positive; still require entry confirmation.", "sample_size": 48, "up_pct": 56.2, "down_pct": 22.9, "active_pct": 91.7, "median_change_pct": 2.02, "median_range_pct": 8.56, "formula": "Liquid non-stable USDT pairs: volume &gt;= 10M; up/down threshold +/-1.5%; active logarithmic range threshold 3.0%; quiet active breadth threshold 35%; median direction threshold +/-1.0%."}</x:v>
      </x:c>
    </x:row>
    <x:row r="110" ht="21" customHeight="1">
      <x:c r="A110" s="8" t="n">
        <x:v>46276.76744212963</x:v>
      </x:c>
      <x:c r="B110" s="10" t="n">
        <x:v>1789140307</x:v>
      </x:c>
      <x:c r="C110" s="3" t="str">
        <x:v>production</x:v>
      </x:c>
      <x:c r="D110" s="3" t="str">
        <x:v>ACTIVE / POSITIVE</x:v>
      </x:c>
      <x:c r="E110" s="3" t="str">
        <x:v>Broad momentum is positive; still require entry confirmation.</x:v>
      </x:c>
      <x:c r="F110" s="10" t="n">
        <x:v>48</x:v>
      </x:c>
      <x:c r="G110" s="9" t="n">
        <x:v>62.5</x:v>
      </x:c>
      <x:c r="H110" s="9" t="n">
        <x:v>18.8</x:v>
      </x:c>
      <x:c r="I110" s="9" t="n">
        <x:v>91.7</x:v>
      </x:c>
      <x:c r="J110" s="9" t="n">
        <x:v>2.47</x:v>
      </x:c>
      <x:c r="K110" s="9" t="n">
        <x:v>8.56</x:v>
      </x:c>
      <x:c r="L110" s="3" t="str">
        <x:v>Liquid non-stable USDT pairs: volume &gt;= 10M; up/down threshold +/-1.5%; active logarithmic range threshold 3.0%; quiet active breadth threshold 35%; median direction threshold +/-1.0%.</x:v>
      </x:c>
      <x:c r="M110" s="10" t="n">
        <x:v>765</x:v>
      </x:c>
      <x:c r="N110" s="3" t="str">
        <x:v>{"recorded_at": 1789140307, "environment": "production", "regime": "ACTIVE / POSITIVE", "expectation": "Broad momentum is positive; still require entry confirmation.", "sample_size": 48, "up_pct": 62.5, "down_pct": 18.8, "active_pct": 91.7, "median_change_pct": 2.47, "median_range_pct": 8.56, "formula": "Liquid non-stable USDT pairs: volume &gt;= 10M; up/down threshold +/-1.5%; active logarithmic range threshold 3.0%; quiet active breadth threshold 35%; median direction threshold +/-1.0%."}</x:v>
      </x:c>
    </x:row>
    <x:row r="111" ht="21" customHeight="1">
      <x:c r="A111" s="8" t="n">
        <x:v>46276.778125</x:v>
      </x:c>
      <x:c r="B111" s="10" t="n">
        <x:v>1789141230</x:v>
      </x:c>
      <x:c r="C111" s="3" t="str">
        <x:v>production</x:v>
      </x:c>
      <x:c r="D111" s="3" t="str">
        <x:v>ACTIVE / POSITIVE</x:v>
      </x:c>
      <x:c r="E111" s="3" t="str">
        <x:v>Broad momentum is positive; still require entry confirmation.</x:v>
      </x:c>
      <x:c r="F111" s="10" t="n">
        <x:v>49</x:v>
      </x:c>
      <x:c r="G111" s="9" t="n">
        <x:v>63.3</x:v>
      </x:c>
      <x:c r="H111" s="9" t="n">
        <x:v>16.3</x:v>
      </x:c>
      <x:c r="I111" s="9" t="n">
        <x:v>91.8</x:v>
      </x:c>
      <x:c r="J111" s="9" t="n">
        <x:v>3.21</x:v>
      </x:c>
      <x:c r="K111" s="9" t="n">
        <x:v>8.6</x:v>
      </x:c>
      <x:c r="L111" s="3" t="str">
        <x:v>Liquid non-stable USDT pairs: volume &gt;= 10M; up/down threshold +/-1.5%; active logarithmic range threshold 3.0%; quiet active breadth threshold 35%; median direction threshold +/-1.0%.</x:v>
      </x:c>
      <x:c r="M111" s="10" t="n">
        <x:v>766</x:v>
      </x:c>
      <x:c r="N111" s="3" t="str">
        <x:v>{"recorded_at": 1789141230, "environment": "production", "regime": "ACTIVE / POSITIVE", "expectation": "Broad momentum is positive; still require entry confirmation.", "sample_size": 49, "up_pct": 63.3, "down_pct": 16.3, "active_pct": 91.8, "median_change_pct": 3.21, "median_range_pct": 8.6, "formula": "Liquid non-stable USDT pairs: volume &gt;= 10M; up/down threshold +/-1.5%; active logarithmic range threshold 3.0%; quiet active breadth threshold 35%; median direction threshold +/-1.0%."}</x:v>
      </x:c>
    </x:row>
    <x:row r="112" ht="21" customHeight="1">
      <x:c r="A112" s="8" t="n">
        <x:v>46276.79085648148</x:v>
      </x:c>
      <x:c r="B112" s="10" t="n">
        <x:v>1789142330</x:v>
      </x:c>
      <x:c r="C112" s="3" t="str">
        <x:v>production</x:v>
      </x:c>
      <x:c r="D112" s="3" t="str">
        <x:v>ACTIVE / MIXED</x:v>
      </x:c>
      <x:c r="E112" s="3" t="str">
        <x:v>Movement is sufficient, but market direction is divided.</x:v>
      </x:c>
      <x:c r="F112" s="10" t="n">
        <x:v>49</x:v>
      </x:c>
      <x:c r="G112" s="9" t="n">
        <x:v>36.7</x:v>
      </x:c>
      <x:c r="H112" s="9" t="n">
        <x:v>22.4</x:v>
      </x:c>
      <x:c r="I112" s="9" t="n">
        <x:v>91.8</x:v>
      </x:c>
      <x:c r="J112" s="9" t="n">
        <x:v>0.14</x:v>
      </x:c>
      <x:c r="K112" s="9" t="n">
        <x:v>8.6</x:v>
      </x:c>
      <x:c r="L112" s="3" t="str">
        <x:v>Liquid non-stable USDT pairs: volume &gt;= 10M; up/down threshold +/-1.5%; active logarithmic range threshold 3.0%; quiet active breadth threshold 35%; median direction threshold +/-1.0%.</x:v>
      </x:c>
      <x:c r="M112" s="10" t="n">
        <x:v>767</x:v>
      </x:c>
      <x:c r="N112" s="3" t="str">
        <x:v>{"recorded_at": 1789142330, "environment": "production", "regime": "ACTIVE / MIXED", "expectation": "Movement is sufficient, but market direction is divided.", "sample_size": 49, "up_pct": 36.7, "down_pct": 22.4, "active_pct": 91.8, "median_change_pct": 0.14, "median_range_pct": 8.6, "formula": "Liquid non-stable USDT pairs: volume &gt;= 10M; up/down threshold +/-1.5%; active logarithmic range threshold 3.0%; quiet active breadth threshold 35%; median direction threshold +/-1.0%."}</x:v>
      </x:c>
    </x:row>
    <x:row r="113" ht="21" customHeight="1">
      <x:c r="A113" s="8" t="n">
        <x:v>46276.801782407405</x:v>
      </x:c>
      <x:c r="B113" s="10" t="n">
        <x:v>1789143274</x:v>
      </x:c>
      <x:c r="C113" s="3" t="str">
        <x:v>production</x:v>
      </x:c>
      <x:c r="D113" s="3" t="str">
        <x:v>ACTIVE / POSITIVE</x:v>
      </x:c>
      <x:c r="E113" s="3" t="str">
        <x:v>Broad momentum is positive; still require entry confirmation.</x:v>
      </x:c>
      <x:c r="F113" s="10" t="n">
        <x:v>49</x:v>
      </x:c>
      <x:c r="G113" s="9" t="n">
        <x:v>46.9</x:v>
      </x:c>
      <x:c r="H113" s="9" t="n">
        <x:v>20.4</x:v>
      </x:c>
      <x:c r="I113" s="9" t="n">
        <x:v>91.8</x:v>
      </x:c>
      <x:c r="J113" s="9" t="n">
        <x:v>1.44</x:v>
      </x:c>
      <x:c r="K113" s="9" t="n">
        <x:v>8.6</x:v>
      </x:c>
      <x:c r="L113" s="3" t="str">
        <x:v>Liquid non-stable USDT pairs: volume &gt;= 10M; up/down threshold +/-1.5%; active logarithmic range threshold 3.0%; quiet active breadth threshold 35%; median direction threshold +/-1.0%.</x:v>
      </x:c>
      <x:c r="M113" s="10" t="n">
        <x:v>768</x:v>
      </x:c>
      <x:c r="N113" s="3" t="str">
        <x:v>{"recorded_at": 1789143274, "environment": "production", "regime": "ACTIVE / POSITIVE", "expectation": "Broad momentum is positive; still require entry confirmation.", "sample_size": 49, "up_pct": 46.9, "down_pct": 20.4, "active_pct": 91.8, "median_change_pct": 1.44, "median_range_pct": 8.6, "formula": "Liquid non-stable USDT pairs: volume &gt;= 10M; up/down threshold +/-1.5%; active logarithmic range threshold 3.0%; quiet active breadth threshold 35%; median direction threshold +/-1.0%."}</x:v>
      </x:c>
    </x:row>
    <x:row r="114" ht="21" customHeight="1">
      <x:c r="A114" s="8" t="n">
        <x:v>46276.812418981484</x:v>
      </x:c>
      <x:c r="B114" s="10" t="n">
        <x:v>1789144193</x:v>
      </x:c>
      <x:c r="C114" s="3" t="str">
        <x:v>production</x:v>
      </x:c>
      <x:c r="D114" s="3" t="str">
        <x:v>ACTIVE / POSITIVE</x:v>
      </x:c>
      <x:c r="E114" s="3" t="str">
        <x:v>Broad momentum is positive; still require entry confirmation.</x:v>
      </x:c>
      <x:c r="F114" s="10" t="n">
        <x:v>48</x:v>
      </x:c>
      <x:c r="G114" s="9" t="n">
        <x:v>47.9</x:v>
      </x:c>
      <x:c r="H114" s="9" t="n">
        <x:v>16.7</x:v>
      </x:c>
      <x:c r="I114" s="9" t="n">
        <x:v>91.7</x:v>
      </x:c>
      <x:c r="J114" s="9" t="n">
        <x:v>1.37</x:v>
      </x:c>
      <x:c r="K114" s="9" t="n">
        <x:v>8.41</x:v>
      </x:c>
      <x:c r="L114" s="3" t="str">
        <x:v>Liquid non-stable USDT pairs: volume &gt;= 10M; up/down threshold +/-1.5%; active logarithmic range threshold 3.0%; quiet active breadth threshold 35%; median direction threshold +/-1.0%.</x:v>
      </x:c>
      <x:c r="M114" s="10" t="n">
        <x:v>769</x:v>
      </x:c>
      <x:c r="N114" s="3" t="str">
        <x:v>{"recorded_at": 1789144193, "environment": "production", "regime": "ACTIVE / POSITIVE", "expectation": "Broad momentum is positive; still require entry confirmation.", "sample_size": 48, "up_pct": 47.9, "down_pct": 16.7, "active_pct": 91.7, "median_change_pct": 1.37, "median_range_pct": 8.41, "formula": "Liquid non-stable USDT pairs: volume &gt;= 10M; up/down threshold +/-1.5%; active logarithmic range threshold 3.0%; quiet active breadth threshold 35%; median direction threshold +/-1.0%."}</x:v>
      </x:c>
    </x:row>
    <x:row r="115" ht="21" customHeight="1">
      <x:c r="A115" s="8" t="n">
        <x:v>46276.82288194444</x:v>
      </x:c>
      <x:c r="B115" s="10" t="n">
        <x:v>1789145097</x:v>
      </x:c>
      <x:c r="C115" s="3" t="str">
        <x:v>production</x:v>
      </x:c>
      <x:c r="D115" s="3" t="str">
        <x:v>ACTIVE / POSITIVE</x:v>
      </x:c>
      <x:c r="E115" s="3" t="str">
        <x:v>Broad momentum is positive; still require entry confirmation.</x:v>
      </x:c>
      <x:c r="F115" s="10" t="n">
        <x:v>49</x:v>
      </x:c>
      <x:c r="G115" s="9" t="n">
        <x:v>51</x:v>
      </x:c>
      <x:c r="H115" s="9" t="n">
        <x:v>14.3</x:v>
      </x:c>
      <x:c r="I115" s="9" t="n">
        <x:v>91.8</x:v>
      </x:c>
      <x:c r="J115" s="9" t="n">
        <x:v>1.66</x:v>
      </x:c>
      <x:c r="K115" s="9" t="n">
        <x:v>8.22</x:v>
      </x:c>
      <x:c r="L115" s="3" t="str">
        <x:v>Liquid non-stable USDT pairs: volume &gt;= 10M; up/down threshold +/-1.5%; active logarithmic range threshold 3.0%; quiet active breadth threshold 35%; median direction threshold +/-1.0%.</x:v>
      </x:c>
      <x:c r="M115" s="10" t="n">
        <x:v>770</x:v>
      </x:c>
      <x:c r="N115" s="3" t="str">
        <x:v>{"recorded_at": 1789145097, "environment": "production", "regime": "ACTIVE / POSITIVE", "expectation": "Broad momentum is positive; still require entry confirmation.", "sample_size": 49, "up_pct": 51.0, "down_pct": 14.3, "active_pct": 91.8, "median_change_pct": 1.66, "median_range_pct": 8.22, "formula": "Liquid non-stable USDT pairs: volume &gt;= 10M; up/down threshold +/-1.5%; active logarithmic range threshold 3.0%; quiet active breadth threshold 35%; median direction threshold +/-1.0%."}</x:v>
      </x:c>
    </x:row>
    <x:row r="116" ht="21" customHeight="1">
      <x:c r="A116" s="8" t="n">
        <x:v>46276.833391203705</x:v>
      </x:c>
      <x:c r="B116" s="10" t="n">
        <x:v>1789146005</x:v>
      </x:c>
      <x:c r="C116" s="3" t="str">
        <x:v>production</x:v>
      </x:c>
      <x:c r="D116" s="3" t="str">
        <x:v>ACTIVE / POSITIVE</x:v>
      </x:c>
      <x:c r="E116" s="3" t="str">
        <x:v>Broad momentum is positive; still require entry confirmation.</x:v>
      </x:c>
      <x:c r="F116" s="10" t="n">
        <x:v>49</x:v>
      </x:c>
      <x:c r="G116" s="9" t="n">
        <x:v>53.1</x:v>
      </x:c>
      <x:c r="H116" s="9" t="n">
        <x:v>18.4</x:v>
      </x:c>
      <x:c r="I116" s="9" t="n">
        <x:v>91.8</x:v>
      </x:c>
      <x:c r="J116" s="9" t="n">
        <x:v>1.57</x:v>
      </x:c>
      <x:c r="K116" s="9" t="n">
        <x:v>8.22</x:v>
      </x:c>
      <x:c r="L116" s="3" t="str">
        <x:v>Liquid non-stable USDT pairs: volume &gt;= 10M; up/down threshold +/-1.5%; active logarithmic range threshold 3.0%; quiet active breadth threshold 35%; median direction threshold +/-1.0%.</x:v>
      </x:c>
      <x:c r="M116" s="10" t="n">
        <x:v>771</x:v>
      </x:c>
      <x:c r="N116" s="3" t="str">
        <x:v>{"recorded_at": 1789146005, "environment": "production", "regime": "ACTIVE / POSITIVE", "expectation": "Broad momentum is positive; still require entry confirmation.", "sample_size": 49, "up_pct": 53.1, "down_pct": 18.4, "active_pct": 91.8, "median_change_pct": 1.57, "median_range_pct": 8.22, "formula": "Liquid non-stable USDT pairs: volume &gt;= 10M; up/down threshold +/-1.5%; active logarithmic range threshold 3.0%; quiet active breadth threshold 35%; median direction threshold +/-1.0%."}</x:v>
      </x:c>
    </x:row>
    <x:row r="117" ht="21" customHeight="1">
      <x:c r="A117" s="8" t="n">
        <x:v>46276.84402777778</x:v>
      </x:c>
      <x:c r="B117" s="10" t="n">
        <x:v>1789146924</x:v>
      </x:c>
      <x:c r="C117" s="3" t="str">
        <x:v>production</x:v>
      </x:c>
      <x:c r="D117" s="3" t="str">
        <x:v>ACTIVE / MIXED</x:v>
      </x:c>
      <x:c r="E117" s="3" t="str">
        <x:v>Movement is sufficient, but market direction is divided.</x:v>
      </x:c>
      <x:c r="F117" s="10" t="n">
        <x:v>49</x:v>
      </x:c>
      <x:c r="G117" s="9" t="n">
        <x:v>44.9</x:v>
      </x:c>
      <x:c r="H117" s="9" t="n">
        <x:v>20.4</x:v>
      </x:c>
      <x:c r="I117" s="9" t="n">
        <x:v>91.8</x:v>
      </x:c>
      <x:c r="J117" s="9" t="n">
        <x:v>0.91</x:v>
      </x:c>
      <x:c r="K117" s="9" t="n">
        <x:v>8.22</x:v>
      </x:c>
      <x:c r="L117" s="3" t="str">
        <x:v>Liquid non-stable USDT pairs: volume &gt;= 10M; up/down threshold +/-1.5%; active logarithmic range threshold 3.0%; quiet active breadth threshold 35%; median direction threshold +/-1.0%.</x:v>
      </x:c>
      <x:c r="M117" s="10" t="n">
        <x:v>772</x:v>
      </x:c>
      <x:c r="N117" s="3" t="str">
        <x:v>{"recorded_at": 1789146924, "environment": "production", "regime": "ACTIVE / MIXED", "expectation": "Movement is sufficient, but market direction is divided.", "sample_size": 49, "up_pct": 44.9, "down_pct": 20.4, "active_pct": 91.8, "median_change_pct": 0.91, "median_range_pct": 8.22, "formula": "Liquid non-stable USDT pairs: volume &gt;= 10M; up/down threshold +/-1.5%; active logarithmic range threshold 3.0%; quiet active breadth threshold 35%; median direction threshold +/-1.0%."}</x:v>
      </x:c>
    </x:row>
    <x:row r="118" ht="21" customHeight="1">
      <x:c r="A118" s="8" t="n">
        <x:v>46276.85454861111</x:v>
      </x:c>
      <x:c r="B118" s="10" t="n">
        <x:v>1789147833</x:v>
      </x:c>
      <x:c r="C118" s="3" t="str">
        <x:v>production</x:v>
      </x:c>
      <x:c r="D118" s="3" t="str">
        <x:v>ACTIVE / MIXED</x:v>
      </x:c>
      <x:c r="E118" s="3" t="str">
        <x:v>Movement is sufficient, but market direction is divided.</x:v>
      </x:c>
      <x:c r="F118" s="10" t="n">
        <x:v>49</x:v>
      </x:c>
      <x:c r="G118" s="9" t="n">
        <x:v>38.8</x:v>
      </x:c>
      <x:c r="H118" s="9" t="n">
        <x:v>18.4</x:v>
      </x:c>
      <x:c r="I118" s="9" t="n">
        <x:v>91.8</x:v>
      </x:c>
      <x:c r="J118" s="9" t="n">
        <x:v>0.82</x:v>
      </x:c>
      <x:c r="K118" s="9" t="n">
        <x:v>8.22</x:v>
      </x:c>
      <x:c r="L118" s="3" t="str">
        <x:v>Liquid non-stable USDT pairs: volume &gt;= 10M; up/down threshold +/-1.5%; active logarithmic range threshold 3.0%; quiet active breadth threshold 35%; median direction threshold +/-1.0%.</x:v>
      </x:c>
      <x:c r="M118" s="10" t="n">
        <x:v>773</x:v>
      </x:c>
      <x:c r="N118" s="3" t="str">
        <x:v>{"recorded_at": 1789147833, "environment": "production", "regime": "ACTIVE / MIXED", "expectation": "Movement is sufficient, but market direction is divided.", "sample_size": 49, "up_pct": 38.8, "down_pct": 18.4, "active_pct": 91.8, "median_change_pct": 0.82, "median_range_pct": 8.22, "formula": "Liquid non-stable USDT pairs: volume &gt;= 10M; up/down threshold +/-1.5%; active logarithmic range threshold 3.0%; quiet active breadth threshold 35%; median direction threshold +/-1.0%."}</x:v>
      </x:c>
    </x:row>
    <x:row r="119" ht="21" customHeight="1">
      <x:c r="A119" s="8" t="n">
        <x:v>46276.865115740744</x:v>
      </x:c>
      <x:c r="B119" s="10" t="n">
        <x:v>1789148746</x:v>
      </x:c>
      <x:c r="C119" s="3" t="str">
        <x:v>production</x:v>
      </x:c>
      <x:c r="D119" s="3" t="str">
        <x:v>ACTIVE / MIXED</x:v>
      </x:c>
      <x:c r="E119" s="3" t="str">
        <x:v>Movement is sufficient, but market direction is divided.</x:v>
      </x:c>
      <x:c r="F119" s="10" t="n">
        <x:v>49</x:v>
      </x:c>
      <x:c r="G119" s="9" t="n">
        <x:v>32.7</x:v>
      </x:c>
      <x:c r="H119" s="9" t="n">
        <x:v>24.5</x:v>
      </x:c>
      <x:c r="I119" s="9" t="n">
        <x:v>91.8</x:v>
      </x:c>
      <x:c r="J119" s="9" t="n">
        <x:v>0.2</x:v>
      </x:c>
      <x:c r="K119" s="9" t="n">
        <x:v>8.22</x:v>
      </x:c>
      <x:c r="L119" s="3" t="str">
        <x:v>Liquid non-stable USDT pairs: volume &gt;= 10M; up/down threshold +/-1.5%; active logarithmic range threshold 3.0%; quiet active breadth threshold 35%; median direction threshold +/-1.0%.</x:v>
      </x:c>
      <x:c r="M119" s="10" t="n">
        <x:v>774</x:v>
      </x:c>
      <x:c r="N119" s="3" t="str">
        <x:v>{"recorded_at": 1789148746, "environment": "production", "regime": "ACTIVE / MIXED", "expectation": "Movement is sufficient, but market direction is divided.", "sample_size": 49, "up_pct": 32.7, "down_pct": 24.5, "active_pct": 91.8, "median_change_pct": 0.2, "median_range_pct": 8.22, "formula": "Liquid non-stable USDT pairs: volume &gt;= 10M; up/down threshold +/-1.5%; active logarithmic range threshold 3.0%; quiet active breadth threshold 35%; median direction threshold +/-1.0%."}</x:v>
      </x:c>
    </x:row>
    <x:row r="120" ht="21" customHeight="1">
      <x:c r="A120" s="8" t="n">
        <x:v>46276.875706018516</x:v>
      </x:c>
      <x:c r="B120" s="10" t="n">
        <x:v>1789149661</x:v>
      </x:c>
      <x:c r="C120" s="3" t="str">
        <x:v>production</x:v>
      </x:c>
      <x:c r="D120" s="3" t="str">
        <x:v>ACTIVE / MIXED</x:v>
      </x:c>
      <x:c r="E120" s="3" t="str">
        <x:v>Movement is sufficient, but market direction is divided.</x:v>
      </x:c>
      <x:c r="F120" s="10" t="n">
        <x:v>47</x:v>
      </x:c>
      <x:c r="G120" s="9" t="n">
        <x:v>31.9</x:v>
      </x:c>
      <x:c r="H120" s="9" t="n">
        <x:v>23.4</x:v>
      </x:c>
      <x:c r="I120" s="9" t="n">
        <x:v>91.5</x:v>
      </x:c>
      <x:c r="J120" s="9" t="n">
        <x:v>0.28</x:v>
      </x:c>
      <x:c r="K120" s="9" t="n">
        <x:v>8.22</x:v>
      </x:c>
      <x:c r="L120" s="3" t="str">
        <x:v>Liquid non-stable USDT pairs: volume &gt;= 10M; up/down threshold +/-1.5%; active logarithmic range threshold 3.0%; quiet active breadth threshold 35%; median direction threshold +/-1.0%.</x:v>
      </x:c>
      <x:c r="M120" s="10" t="n">
        <x:v>775</x:v>
      </x:c>
      <x:c r="N120" s="3" t="str">
        <x:v>{"recorded_at": 1789149661, "environment": "production", "regime": "ACTIVE / MIXED", "expectation": "Movement is sufficient, but market direction is divided.", "sample_size": 47, "up_pct": 31.9, "down_pct": 23.4, "active_pct": 91.5, "median_change_pct": 0.28, "median_range_pct": 8.22, "formula": "Liquid non-stable USDT pairs: volume &gt;= 10M; up/down threshold +/-1.5%; active logarithmic range threshold 3.0%; quiet active breadth threshold 35%; median direction threshold +/-1.0%."}</x:v>
      </x:c>
    </x:row>
    <x:row r="121" ht="21" customHeight="1">
      <x:c r="A121" s="8" t="n">
        <x:v>46276.880532407406</x:v>
      </x:c>
      <x:c r="B121" s="10" t="n">
        <x:v>1789150078</x:v>
      </x:c>
      <x:c r="C121" s="3" t="str">
        <x:v>production</x:v>
      </x:c>
      <x:c r="D121" s="3" t="str">
        <x:v>ACTIVE / MIXED</x:v>
      </x:c>
      <x:c r="E121" s="3" t="str">
        <x:v>Movement is sufficient, but market direction is divided.</x:v>
      </x:c>
      <x:c r="F121" s="10" t="n">
        <x:v>47</x:v>
      </x:c>
      <x:c r="G121" s="9" t="n">
        <x:v>29.8</x:v>
      </x:c>
      <x:c r="H121" s="9" t="n">
        <x:v>29.8</x:v>
      </x:c>
      <x:c r="I121" s="9" t="n">
        <x:v>91.5</x:v>
      </x:c>
      <x:c r="J121" s="9" t="n">
        <x:v>0.1</x:v>
      </x:c>
      <x:c r="K121" s="9" t="n">
        <x:v>8.22</x:v>
      </x:c>
      <x:c r="L121" s="3" t="str">
        <x:v>Liquid non-stable USDT pairs: volume &gt;= 10M; up/down threshold +/-1.5%; active logarithmic range threshold 3.0%; quiet active breadth threshold 35%; median direction threshold +/-1.0%.</x:v>
      </x:c>
      <x:c r="M121" s="10" t="n">
        <x:v>776</x:v>
      </x:c>
      <x:c r="N121" s="3" t="str">
        <x:v>{"recorded_at": 1789150078, "environment": "production", "regime": "ACTIVE / MIXED", "expectation": "Movement is sufficient, but market direction is divided.", "sample_size": 47, "up_pct": 29.8, "down_pct": 29.8, "active_pct": 91.5, "median_change_pct": 0.1, "median_range_pct": 8.22, "formula": "Liquid non-stable USDT pairs: volume &gt;= 10M; up/down threshold +/-1.5%; active logarithmic range threshold 3.0%; quiet active breadth threshold 35%; median direction threshold +/-1.0%."}</x:v>
      </x:c>
    </x:row>
    <x:row r="122" ht="21" customHeight="1">
      <x:c r="A122" s="8" t="n">
        <x:v>46276.89098379629</x:v>
      </x:c>
      <x:c r="B122" s="10" t="n">
        <x:v>1789150981</x:v>
      </x:c>
      <x:c r="C122" s="3" t="str">
        <x:v>production</x:v>
      </x:c>
      <x:c r="D122" s="3" t="str">
        <x:v>ACTIVE / MIXED</x:v>
      </x:c>
      <x:c r="E122" s="3" t="str">
        <x:v>Movement is sufficient, but market direction is divided.</x:v>
      </x:c>
      <x:c r="F122" s="10" t="n">
        <x:v>48</x:v>
      </x:c>
      <x:c r="G122" s="9" t="n">
        <x:v>31.2</x:v>
      </x:c>
      <x:c r="H122" s="9" t="n">
        <x:v>25</x:v>
      </x:c>
      <x:c r="I122" s="9" t="n">
        <x:v>91.7</x:v>
      </x:c>
      <x:c r="J122" s="9" t="n">
        <x:v>0.36</x:v>
      </x:c>
      <x:c r="K122" s="9" t="n">
        <x:v>8.15</x:v>
      </x:c>
      <x:c r="L122" s="3" t="str">
        <x:v>Liquid non-stable USDT pairs: volume &gt;= 10M; up/down threshold +/-1.5%; active logarithmic range threshold 3.0%; quiet active breadth threshold 35%; median direction threshold +/-1.0%.</x:v>
      </x:c>
      <x:c r="M122" s="10" t="n">
        <x:v>777</x:v>
      </x:c>
      <x:c r="N122" s="3" t="str">
        <x:v>{"recorded_at": 1789150981, "environment": "production", "regime": "ACTIVE / MIXED", "expectation": "Movement is sufficient, but market direction is divided.", "sample_size": 48, "up_pct": 31.2, "down_pct": 25.0, "active_pct": 91.7, "median_change_pct": 0.36, "median_range_pct": 8.15, "formula": "Liquid non-stable USDT pairs: volume &gt;= 10M; up/down threshold +/-1.5%; active logarithmic range threshold 3.0%; quiet active breadth threshold 35%; median direction threshold +/-1.0%."}</x:v>
      </x:c>
    </x:row>
    <x:row r="123" ht="21" customHeight="1">
      <x:c r="A123" s="8" t="n">
        <x:v>46276.90158564815</x:v>
      </x:c>
      <x:c r="B123" s="10" t="n">
        <x:v>1789151897</x:v>
      </x:c>
      <x:c r="C123" s="3" t="str">
        <x:v>production</x:v>
      </x:c>
      <x:c r="D123" s="3" t="str">
        <x:v>ACTIVE / MIXED</x:v>
      </x:c>
      <x:c r="E123" s="3" t="str">
        <x:v>Movement is sufficient, but market direction is divided.</x:v>
      </x:c>
      <x:c r="F123" s="10" t="n">
        <x:v>49</x:v>
      </x:c>
      <x:c r="G123" s="9" t="n">
        <x:v>26.5</x:v>
      </x:c>
      <x:c r="H123" s="9" t="n">
        <x:v>28.6</x:v>
      </x:c>
      <x:c r="I123" s="9" t="n">
        <x:v>91.8</x:v>
      </x:c>
      <x:c r="J123" s="9" t="n">
        <x:v>0.32</x:v>
      </x:c>
      <x:c r="K123" s="9" t="n">
        <x:v>8.07</x:v>
      </x:c>
      <x:c r="L123" s="3" t="str">
        <x:v>Liquid non-stable USDT pairs: volume &gt;= 10M; up/down threshold +/-1.5%; active logarithmic range threshold 3.0%; quiet active breadth threshold 35%; median direction threshold +/-1.0%.</x:v>
      </x:c>
      <x:c r="M123" s="10" t="n">
        <x:v>778</x:v>
      </x:c>
      <x:c r="N123" s="3" t="str">
        <x:v>{"recorded_at": 1789151897, "environment": "production", "regime": "ACTIVE / MIXED", "expectation": "Movement is sufficient, but market direction is divided.", "sample_size": 49, "up_pct": 26.5, "down_pct": 28.6, "active_pct": 91.8, "median_change_pct": 0.32, "median_range_pct": 8.07, "formula": "Liquid non-stable USDT pairs: volume &gt;= 10M; up/down threshold +/-1.5%; active logarithmic range threshold 3.0%; quiet active breadth threshold 35%; median direction threshold +/-1.0%."}</x:v>
      </x:c>
    </x:row>
    <x:row r="124" ht="21" customHeight="1">
      <x:c r="A124" s="8" t="n">
        <x:v>46276.91222222222</x:v>
      </x:c>
      <x:c r="B124" s="10" t="n">
        <x:v>1789152816</x:v>
      </x:c>
      <x:c r="C124" s="3" t="str">
        <x:v>production</x:v>
      </x:c>
      <x:c r="D124" s="3" t="str">
        <x:v>ACTIVE / MIXED</x:v>
      </x:c>
      <x:c r="E124" s="3" t="str">
        <x:v>Movement is sufficient, but market direction is divided.</x:v>
      </x:c>
      <x:c r="F124" s="10" t="n">
        <x:v>49</x:v>
      </x:c>
      <x:c r="G124" s="9" t="n">
        <x:v>16.3</x:v>
      </x:c>
      <x:c r="H124" s="9" t="n">
        <x:v>38.8</x:v>
      </x:c>
      <x:c r="I124" s="9" t="n">
        <x:v>91.8</x:v>
      </x:c>
      <x:c r="J124" s="9" t="n">
        <x:v>-0.57</x:v>
      </x:c>
      <x:c r="K124" s="9" t="n">
        <x:v>8.07</x:v>
      </x:c>
      <x:c r="L124" s="3" t="str">
        <x:v>Liquid non-stable USDT pairs: volume &gt;= 10M; up/down threshold +/-1.5%; active logarithmic range threshold 3.0%; quiet active breadth threshold 35%; median direction threshold +/-1.0%.</x:v>
      </x:c>
      <x:c r="M124" s="10" t="n">
        <x:v>779</x:v>
      </x:c>
      <x:c r="N124" s="3" t="str">
        <x:v>{"recorded_at": 1789152816, "environment": "production", "regime": "ACTIVE / MIXED", "expectation": "Movement is sufficient, but market direction is divided.", "sample_size": 49, "up_pct": 16.3, "down_pct": 38.8, "active_pct": 91.8, "median_change_pct": -0.57, "median_range_pct": 8.07, "formula": "Liquid non-stable USDT pairs: volume &gt;= 10M; up/down threshold +/-1.5%; active logarithmic range threshold 3.0%; quiet active breadth threshold 35%; median direction threshold +/-1.0%."}</x:v>
      </x:c>
    </x:row>
    <x:row r="125" ht="21" customHeight="1">
      <x:c r="A125" s="8" t="n">
        <x:v>46276.92287037037</x:v>
      </x:c>
      <x:c r="B125" s="10" t="n">
        <x:v>1789153736</x:v>
      </x:c>
      <x:c r="C125" s="3" t="str">
        <x:v>production</x:v>
      </x:c>
      <x:c r="D125" s="3" t="str">
        <x:v>ACTIVE / MIXED</x:v>
      </x:c>
      <x:c r="E125" s="3" t="str">
        <x:v>Movement is sufficient, but market direction is divided.</x:v>
      </x:c>
      <x:c r="F125" s="10" t="n">
        <x:v>49</x:v>
      </x:c>
      <x:c r="G125" s="9" t="n">
        <x:v>20.4</x:v>
      </x:c>
      <x:c r="H125" s="9" t="n">
        <x:v>34.7</x:v>
      </x:c>
      <x:c r="I125" s="9" t="n">
        <x:v>91.8</x:v>
      </x:c>
      <x:c r="J125" s="9" t="n">
        <x:v>-0.22</x:v>
      </x:c>
      <x:c r="K125" s="9" t="n">
        <x:v>8.07</x:v>
      </x:c>
      <x:c r="L125" s="3" t="str">
        <x:v>Liquid non-stable USDT pairs: volume &gt;= 10M; up/down threshold +/-1.5%; active logarithmic range threshold 3.0%; quiet active breadth threshold 35%; median direction threshold +/-1.0%.</x:v>
      </x:c>
      <x:c r="M125" s="10" t="n">
        <x:v>780</x:v>
      </x:c>
      <x:c r="N125" s="3" t="str">
        <x:v>{"recorded_at": 1789153736, "environment": "production", "regime": "ACTIVE / MIXED", "expectation": "Movement is sufficient, but market direction is divided.", "sample_size": 49, "up_pct": 20.4, "down_pct": 34.7, "active_pct": 91.8, "median_change_pct": -0.22, "median_range_pct": 8.07, "formula": "Liquid non-stable USDT pairs: volume &gt;= 10M; up/down threshold +/-1.5%; active logarithmic range threshold 3.0%; quiet active breadth threshold 35%; median direction threshold +/-1.0%."}</x:v>
      </x:c>
    </x:row>
    <x:row r="126" ht="21" customHeight="1">
      <x:c r="A126" s="8" t="n">
        <x:v>46276.93336805556</x:v>
      </x:c>
      <x:c r="B126" s="10" t="n">
        <x:v>1789154643</x:v>
      </x:c>
      <x:c r="C126" s="3" t="str">
        <x:v>production</x:v>
      </x:c>
      <x:c r="D126" s="3" t="str">
        <x:v>ACTIVE / MIXED</x:v>
      </x:c>
      <x:c r="E126" s="3" t="str">
        <x:v>Movement is sufficient, but market direction is divided.</x:v>
      </x:c>
      <x:c r="F126" s="10" t="n">
        <x:v>49</x:v>
      </x:c>
      <x:c r="G126" s="9" t="n">
        <x:v>28.6</x:v>
      </x:c>
      <x:c r="H126" s="9" t="n">
        <x:v>34.7</x:v>
      </x:c>
      <x:c r="I126" s="9" t="n">
        <x:v>91.8</x:v>
      </x:c>
      <x:c r="J126" s="9" t="n">
        <x:v>-0.01</x:v>
      </x:c>
      <x:c r="K126" s="9" t="n">
        <x:v>8.07</x:v>
      </x:c>
      <x:c r="L126" s="3" t="str">
        <x:v>Liquid non-stable USDT pairs: volume &gt;= 10M; up/down threshold +/-1.5%; active logarithmic range threshold 3.0%; quiet active breadth threshold 35%; median direction threshold +/-1.0%.</x:v>
      </x:c>
      <x:c r="M126" s="10" t="n">
        <x:v>781</x:v>
      </x:c>
      <x:c r="N126" s="3" t="str">
        <x:v>{"recorded_at": 1789154643, "environment": "production", "regime": "ACTIVE / MIXED", "expectation": "Movement is sufficient, but market direction is divided.", "sample_size": 49, "up_pct": 28.6, "down_pct": 34.7, "active_pct": 91.8, "median_change_pct": -0.01, "median_range_pct": 8.07, "formula": "Liquid non-stable USDT pairs: volume &gt;= 10M; up/down threshold +/-1.5%; active logarithmic range threshold 3.0%; quiet active breadth threshold 35%; median direction threshold +/-1.0%."}</x:v>
      </x:c>
    </x:row>
    <x:row r="127" ht="21" customHeight="1">
      <x:c r="A127" s="8" t="n">
        <x:v>46276.94386574074</x:v>
      </x:c>
      <x:c r="B127" s="10" t="n">
        <x:v>1789155550</x:v>
      </x:c>
      <x:c r="C127" s="3" t="str">
        <x:v>production</x:v>
      </x:c>
      <x:c r="D127" s="3" t="str">
        <x:v>ACTIVE / MIXED</x:v>
      </x:c>
      <x:c r="E127" s="3" t="str">
        <x:v>Movement is sufficient, but market direction is divided.</x:v>
      </x:c>
      <x:c r="F127" s="10" t="n">
        <x:v>49</x:v>
      </x:c>
      <x:c r="G127" s="9" t="n">
        <x:v>18.4</x:v>
      </x:c>
      <x:c r="H127" s="9" t="n">
        <x:v>36.7</x:v>
      </x:c>
      <x:c r="I127" s="9" t="n">
        <x:v>91.8</x:v>
      </x:c>
      <x:c r="J127" s="9" t="n">
        <x:v>0</x:v>
      </x:c>
      <x:c r="K127" s="9" t="n">
        <x:v>8.07</x:v>
      </x:c>
      <x:c r="L127" s="3" t="str">
        <x:v>Liquid non-stable USDT pairs: volume &gt;= 10M; up/down threshold +/-1.5%; active logarithmic range threshold 3.0%; quiet active breadth threshold 35%; median direction threshold +/-1.0%.</x:v>
      </x:c>
      <x:c r="M127" s="10" t="n">
        <x:v>782</x:v>
      </x:c>
      <x:c r="N127" s="3" t="str">
        <x:v>{"recorded_at": 1789155550, "environment": "production", "regime": "ACTIVE / MIXED", "expectation": "Movement is sufficient, but market direction is divided.", "sample_size": 49, "up_pct": 18.4, "down_pct": 36.7, "active_pct": 91.8, "median_change_pct": 0.0, "median_range_pct": 8.07, "formula": "Liquid non-stable USDT pairs: volume &gt;= 10M; up/down threshold +/-1.5%; active logarithmic range threshold 3.0%; quiet active breadth threshold 35%; median direction threshold +/-1.0%."}</x:v>
      </x:c>
    </x:row>
    <x:row r="128" ht="21" customHeight="1">
      <x:c r="A128" s="8" t="n">
        <x:v>46276.95444444445</x:v>
      </x:c>
      <x:c r="B128" s="10" t="n">
        <x:v>1789156464</x:v>
      </x:c>
      <x:c r="C128" s="3" t="str">
        <x:v>production</x:v>
      </x:c>
      <x:c r="D128" s="3" t="str">
        <x:v>ACTIVE / MIXED</x:v>
      </x:c>
      <x:c r="E128" s="3" t="str">
        <x:v>Movement is sufficient, but market direction is divided.</x:v>
      </x:c>
      <x:c r="F128" s="10" t="n">
        <x:v>49</x:v>
      </x:c>
      <x:c r="G128" s="9" t="n">
        <x:v>28.6</x:v>
      </x:c>
      <x:c r="H128" s="9" t="n">
        <x:v>24.5</x:v>
      </x:c>
      <x:c r="I128" s="9" t="n">
        <x:v>91.8</x:v>
      </x:c>
      <x:c r="J128" s="9" t="n">
        <x:v>0.31</x:v>
      </x:c>
      <x:c r="K128" s="9" t="n">
        <x:v>8.07</x:v>
      </x:c>
      <x:c r="L128" s="3" t="str">
        <x:v>Liquid non-stable USDT pairs: volume &gt;= 10M; up/down threshold +/-1.5%; active logarithmic range threshold 3.0%; quiet active breadth threshold 35%; median direction threshold +/-1.0%.</x:v>
      </x:c>
      <x:c r="M128" s="10" t="n">
        <x:v>783</x:v>
      </x:c>
      <x:c r="N128" s="3" t="str">
        <x:v>{"recorded_at": 1789156464, "environment": "production", "regime": "ACTIVE / MIXED", "expectation": "Movement is sufficient, but market direction is divided.", "sample_size": 49, "up_pct": 28.6, "down_pct": 24.5, "active_pct": 91.8, "median_change_pct": 0.31, "median_range_pct": 8.07, "formula": "Liquid non-stable USDT pairs: volume &gt;= 10M; up/down threshold +/-1.5%; active logarithmic range threshold 3.0%; quiet active breadth threshold 35%; median direction threshold +/-1.0%."}</x:v>
      </x:c>
    </x:row>
    <x:row r="129" ht="21" customHeight="1">
      <x:c r="A129" s="8" t="n">
        <x:v>46276.96503472222</x:v>
      </x:c>
      <x:c r="B129" s="10" t="n">
        <x:v>1789157379</x:v>
      </x:c>
      <x:c r="C129" s="3" t="str">
        <x:v>production</x:v>
      </x:c>
      <x:c r="D129" s="3" t="str">
        <x:v>ACTIVE / MIXED</x:v>
      </x:c>
      <x:c r="E129" s="3" t="str">
        <x:v>Movement is sufficient, but market direction is divided.</x:v>
      </x:c>
      <x:c r="F129" s="10" t="n">
        <x:v>49</x:v>
      </x:c>
      <x:c r="G129" s="9" t="n">
        <x:v>32.7</x:v>
      </x:c>
      <x:c r="H129" s="9" t="n">
        <x:v>24.5</x:v>
      </x:c>
      <x:c r="I129" s="9" t="n">
        <x:v>91.8</x:v>
      </x:c>
      <x:c r="J129" s="9" t="n">
        <x:v>0.54</x:v>
      </x:c>
      <x:c r="K129" s="9" t="n">
        <x:v>8.07</x:v>
      </x:c>
      <x:c r="L129" s="3" t="str">
        <x:v>Liquid non-stable USDT pairs: volume &gt;= 10M; up/down threshold +/-1.5%; active logarithmic range threshold 3.0%; quiet active breadth threshold 35%; median direction threshold +/-1.0%.</x:v>
      </x:c>
      <x:c r="M129" s="10" t="n">
        <x:v>784</x:v>
      </x:c>
      <x:c r="N129" s="3" t="str">
        <x:v>{"recorded_at": 1789157379, "environment": "production", "regime": "ACTIVE / MIXED", "expectation": "Movement is sufficient, but market direction is divided.", "sample_size": 49, "up_pct": 32.7, "down_pct": 24.5, "active_pct": 91.8, "median_change_pct": 0.54, "median_range_pct": 8.07, "formula": "Liquid non-stable USDT pairs: volume &gt;= 10M; up/down threshold +/-1.5%; active logarithmic range threshold 3.0%; quiet active breadth threshold 35%; median direction threshold +/-1.0%."}</x:v>
      </x:c>
    </x:row>
    <x:row r="130" ht="21" customHeight="1">
      <x:c r="A130" s="8" t="n">
        <x:v>46276.97554398148</x:v>
      </x:c>
      <x:c r="B130" s="10" t="n">
        <x:v>1789158287</x:v>
      </x:c>
      <x:c r="C130" s="3" t="str">
        <x:v>production</x:v>
      </x:c>
      <x:c r="D130" s="3" t="str">
        <x:v>ACTIVE / MIXED</x:v>
      </x:c>
      <x:c r="E130" s="3" t="str">
        <x:v>Movement is sufficient, but market direction is divided.</x:v>
      </x:c>
      <x:c r="F130" s="10" t="n">
        <x:v>48</x:v>
      </x:c>
      <x:c r="G130" s="9" t="n">
        <x:v>20.8</x:v>
      </x:c>
      <x:c r="H130" s="9" t="n">
        <x:v>33.3</x:v>
      </x:c>
      <x:c r="I130" s="9" t="n">
        <x:v>91.7</x:v>
      </x:c>
      <x:c r="J130" s="9" t="n">
        <x:v>-0.06</x:v>
      </x:c>
      <x:c r="K130" s="9" t="n">
        <x:v>8.15</x:v>
      </x:c>
      <x:c r="L130" s="3" t="str">
        <x:v>Liquid non-stable USDT pairs: volume &gt;= 10M; up/down threshold +/-1.5%; active logarithmic range threshold 3.0%; quiet active breadth threshold 35%; median direction threshold +/-1.0%.</x:v>
      </x:c>
      <x:c r="M130" s="10" t="n">
        <x:v>785</x:v>
      </x:c>
      <x:c r="N130" s="3" t="str">
        <x:v>{"recorded_at": 1789158287, "environment": "production", "regime": "ACTIVE / MIXED", "expectation": "Movement is sufficient, but market direction is divided.", "sample_size": 48, "up_pct": 20.8, "down_pct": 33.3, "active_pct": 91.7, "median_change_pct": -0.06, "median_range_pct": 8.15, "formula": "Liquid non-stable USDT pairs: volume &gt;= 10M; up/down threshold +/-1.5%; active logarithmic range threshold 3.0%; quiet active breadth threshold 35%; median direction threshold +/-1.0%."}</x:v>
      </x:c>
    </x:row>
    <x:row r="131" ht="21" customHeight="1">
      <x:c r="A131" s="8" t="n">
        <x:v>46276.98605324074</x:v>
      </x:c>
      <x:c r="B131" s="10" t="n">
        <x:v>1789159195</x:v>
      </x:c>
      <x:c r="C131" s="3" t="str">
        <x:v>production</x:v>
      </x:c>
      <x:c r="D131" s="3" t="str">
        <x:v>ACTIVE / MIXED</x:v>
      </x:c>
      <x:c r="E131" s="3" t="str">
        <x:v>Movement is sufficient, but market direction is divided.</x:v>
      </x:c>
      <x:c r="F131" s="10" t="n">
        <x:v>48</x:v>
      </x:c>
      <x:c r="G131" s="9" t="n">
        <x:v>25</x:v>
      </x:c>
      <x:c r="H131" s="9" t="n">
        <x:v>25</x:v>
      </x:c>
      <x:c r="I131" s="9" t="n">
        <x:v>91.7</x:v>
      </x:c>
      <x:c r="J131" s="9" t="n">
        <x:v>0.19</x:v>
      </x:c>
      <x:c r="K131" s="9" t="n">
        <x:v>8.15</x:v>
      </x:c>
      <x:c r="L131" s="3" t="str">
        <x:v>Liquid non-stable USDT pairs: volume &gt;= 10M; up/down threshold +/-1.5%; active logarithmic range threshold 3.0%; quiet active breadth threshold 35%; median direction threshold +/-1.0%.</x:v>
      </x:c>
      <x:c r="M131" s="10" t="n">
        <x:v>786</x:v>
      </x:c>
      <x:c r="N131" s="3" t="str">
        <x:v>{"recorded_at": 1789159195, "environment": "production", "regime": "ACTIVE / MIXED", "expectation": "Movement is sufficient, but market direction is divided.", "sample_size": 48, "up_pct": 25.0, "down_pct": 25.0, "active_pct": 91.7, "median_change_pct": 0.19, "median_range_pct": 8.15, "formula": "Liquid non-stable USDT pairs: volume &gt;= 10M; up/down threshold +/-1.5%; active logarithmic range threshold 3.0%; quiet active breadth threshold 35%; median direction threshold +/-1.0%."}</x:v>
      </x:c>
    </x:row>
    <x:row r="132" ht="21" customHeight="1">
      <x:c r="A132" s="8" t="n">
        <x:v>46276.99689814815</x:v>
      </x:c>
      <x:c r="B132" s="10" t="n">
        <x:v>1789160132</x:v>
      </x:c>
      <x:c r="C132" s="3" t="str">
        <x:v>production</x:v>
      </x:c>
      <x:c r="D132" s="3" t="str">
        <x:v>ACTIVE / MIXED</x:v>
      </x:c>
      <x:c r="E132" s="3" t="str">
        <x:v>Movement is sufficient, but market direction is divided.</x:v>
      </x:c>
      <x:c r="F132" s="10" t="n">
        <x:v>48</x:v>
      </x:c>
      <x:c r="G132" s="9" t="n">
        <x:v>20.8</x:v>
      </x:c>
      <x:c r="H132" s="9" t="n">
        <x:v>33.3</x:v>
      </x:c>
      <x:c r="I132" s="9" t="n">
        <x:v>91.7</x:v>
      </x:c>
      <x:c r="J132" s="9" t="n">
        <x:v>-0.01</x:v>
      </x:c>
      <x:c r="K132" s="9" t="n">
        <x:v>8.15</x:v>
      </x:c>
      <x:c r="L132" s="3" t="str">
        <x:v>Liquid non-stable USDT pairs: volume &gt;= 10M; up/down threshold +/-1.5%; active logarithmic range threshold 3.0%; quiet active breadth threshold 35%; median direction threshold +/-1.0%.</x:v>
      </x:c>
      <x:c r="M132" s="10" t="n">
        <x:v>787</x:v>
      </x:c>
      <x:c r="N132" s="3" t="str">
        <x:v>{"recorded_at": 1789160132, "environment": "production", "regime": "ACTIVE / MIXED", "expectation": "Movement is sufficient, but market direction is divided.", "sample_size": 48, "up_pct": 20.8, "down_pct": 33.3, "active_pct": 91.7, "median_change_pct": -0.01, "median_range_pct": 8.15, "formula": "Liquid non-stable USDT pairs: volume &gt;= 10M; up/down threshold +/-1.5%; active logarithmic range threshold 3.0%; quiet active breadth threshold 35%; median direction threshold +/-1.0%."}</x:v>
      </x:c>
    </x:row>
    <x:row r="133" ht="21" customHeight="1">
      <x:c r="A133" s="8" t="n">
        <x:v>46277.00765046296</x:v>
      </x:c>
      <x:c r="B133" s="10" t="n">
        <x:v>1789161061</x:v>
      </x:c>
      <x:c r="C133" s="3" t="str">
        <x:v>production</x:v>
      </x:c>
      <x:c r="D133" s="3" t="str">
        <x:v>ACTIVE / MIXED</x:v>
      </x:c>
      <x:c r="E133" s="3" t="str">
        <x:v>Movement is sufficient, but market direction is divided.</x:v>
      </x:c>
      <x:c r="F133" s="10" t="n">
        <x:v>48</x:v>
      </x:c>
      <x:c r="G133" s="9" t="n">
        <x:v>25</x:v>
      </x:c>
      <x:c r="H133" s="9" t="n">
        <x:v>29.2</x:v>
      </x:c>
      <x:c r="I133" s="9" t="n">
        <x:v>91.7</x:v>
      </x:c>
      <x:c r="J133" s="9" t="n">
        <x:v>0.33</x:v>
      </x:c>
      <x:c r="K133" s="9" t="n">
        <x:v>8.15</x:v>
      </x:c>
      <x:c r="L133" s="3" t="str">
        <x:v>Liquid non-stable USDT pairs: volume &gt;= 10M; up/down threshold +/-1.5%; active logarithmic range threshold 3.0%; quiet active breadth threshold 35%; median direction threshold +/-1.0%.</x:v>
      </x:c>
      <x:c r="M133" s="10" t="n">
        <x:v>788</x:v>
      </x:c>
      <x:c r="N133" s="3" t="str">
        <x:v>{"recorded_at": 1789161061, "environment": "production", "regime": "ACTIVE / MIXED", "expectation": "Movement is sufficient, but market direction is divided.", "sample_size": 48, "up_pct": 25.0, "down_pct": 29.2, "active_pct": 91.7, "median_change_pct": 0.33, "median_range_pct": 8.15, "formula": "Liquid non-stable USDT pairs: volume &gt;= 10M; up/down threshold +/-1.5%; active logarithmic range threshold 3.0%; quiet active breadth threshold 35%; median direction threshold +/-1.0%."}</x:v>
      </x:c>
    </x:row>
    <x:row r="134" ht="21" customHeight="1">
      <x:c r="A134" s="8" t="n">
        <x:v>46277.01809027778</x:v>
      </x:c>
      <x:c r="B134" s="10" t="n">
        <x:v>1789161963</x:v>
      </x:c>
      <x:c r="C134" s="3" t="str">
        <x:v>production</x:v>
      </x:c>
      <x:c r="D134" s="3" t="str">
        <x:v>ACTIVE / MIXED</x:v>
      </x:c>
      <x:c r="E134" s="3" t="str">
        <x:v>Movement is sufficient, but market direction is divided.</x:v>
      </x:c>
      <x:c r="F134" s="10" t="n">
        <x:v>48</x:v>
      </x:c>
      <x:c r="G134" s="9" t="n">
        <x:v>27.1</x:v>
      </x:c>
      <x:c r="H134" s="9" t="n">
        <x:v>22.9</x:v>
      </x:c>
      <x:c r="I134" s="9" t="n">
        <x:v>91.7</x:v>
      </x:c>
      <x:c r="J134" s="9" t="n">
        <x:v>0.45</x:v>
      </x:c>
      <x:c r="K134" s="9" t="n">
        <x:v>8.15</x:v>
      </x:c>
      <x:c r="L134" s="3" t="str">
        <x:v>Liquid non-stable USDT pairs: volume &gt;= 10M; up/down threshold +/-1.5%; active logarithmic range threshold 3.0%; quiet active breadth threshold 35%; median direction threshold +/-1.0%.</x:v>
      </x:c>
      <x:c r="M134" s="10" t="n">
        <x:v>789</x:v>
      </x:c>
      <x:c r="N134" s="3" t="str">
        <x:v>{"recorded_at": 1789161963, "environment": "production", "regime": "ACTIVE / MIXED", "expectation": "Movement is sufficient, but market direction is divided.", "sample_size": 48, "up_pct": 27.1, "down_pct": 22.9, "active_pct": 91.7, "median_change_pct": 0.45, "median_range_pct": 8.15, "formula": "Liquid non-stable USDT pairs: volume &gt;= 10M; up/down threshold +/-1.5%; active logarithmic range threshold 3.0%; quiet active breadth threshold 35%; median direction threshold +/-1.0%."}</x:v>
      </x:c>
    </x:row>
    <x:row r="135" ht="21" customHeight="1">
      <x:c r="A135" s="8" t="n">
        <x:v>46277.02953703704</x:v>
      </x:c>
      <x:c r="B135" s="10" t="n">
        <x:v>1789162952</x:v>
      </x:c>
      <x:c r="C135" s="3" t="str">
        <x:v>production</x:v>
      </x:c>
      <x:c r="D135" s="3" t="str">
        <x:v>ACTIVE / MIXED</x:v>
      </x:c>
      <x:c r="E135" s="3" t="str">
        <x:v>Movement is sufficient, but market direction is divided.</x:v>
      </x:c>
      <x:c r="F135" s="10" t="n">
        <x:v>48</x:v>
      </x:c>
      <x:c r="G135" s="9" t="n">
        <x:v>27.1</x:v>
      </x:c>
      <x:c r="H135" s="9" t="n">
        <x:v>25</x:v>
      </x:c>
      <x:c r="I135" s="9" t="n">
        <x:v>91.7</x:v>
      </x:c>
      <x:c r="J135" s="9" t="n">
        <x:v>0.36</x:v>
      </x:c>
      <x:c r="K135" s="9" t="n">
        <x:v>8.15</x:v>
      </x:c>
      <x:c r="L135" s="3" t="str">
        <x:v>Liquid non-stable USDT pairs: volume &gt;= 10M; up/down threshold +/-1.5%; active logarithmic range threshold 3.0%; quiet active breadth threshold 35%; median direction threshold +/-1.0%.</x:v>
      </x:c>
      <x:c r="M135" s="10" t="n">
        <x:v>790</x:v>
      </x:c>
      <x:c r="N135" s="3" t="str">
        <x:v>{"recorded_at": 1789162952, "environment": "production", "regime": "ACTIVE / MIXED", "expectation": "Movement is sufficient, but market direction is divided.", "sample_size": 48, "up_pct": 27.1, "down_pct": 25.0, "active_pct": 91.7, "median_change_pct": 0.36, "median_range_pct": 8.15, "formula": "Liquid non-stable USDT pairs: volume &gt;= 10M; up/down threshold +/-1.5%; active logarithmic range threshold 3.0%; quiet active breadth threshold 35%; median direction threshold +/-1.0%."}</x:v>
      </x:c>
    </x:row>
    <x:row r="136" ht="21" customHeight="1">
      <x:c r="A136" s="8" t="n">
        <x:v>46277.03113425926</x:v>
      </x:c>
      <x:c r="B136" s="10" t="n">
        <x:v>1789163090</x:v>
      </x:c>
      <x:c r="C136" s="3" t="str">
        <x:v>production</x:v>
      </x:c>
      <x:c r="D136" s="3" t="str">
        <x:v>ACTIVE / MIXED</x:v>
      </x:c>
      <x:c r="E136" s="3" t="str">
        <x:v>Movement is sufficient, but market direction is divided.</x:v>
      </x:c>
      <x:c r="F136" s="10" t="n">
        <x:v>48</x:v>
      </x:c>
      <x:c r="G136" s="9" t="n">
        <x:v>25</x:v>
      </x:c>
      <x:c r="H136" s="9" t="n">
        <x:v>29.2</x:v>
      </x:c>
      <x:c r="I136" s="9" t="n">
        <x:v>91.7</x:v>
      </x:c>
      <x:c r="J136" s="9" t="n">
        <x:v>0.29</x:v>
      </x:c>
      <x:c r="K136" s="9" t="n">
        <x:v>8.15</x:v>
      </x:c>
      <x:c r="L136" s="3" t="str">
        <x:v>Liquid non-stable USDT pairs: volume &gt;= 10M; up/down threshold +/-1.5%; active logarithmic range threshold 3.0%; quiet active breadth threshold 35%; median direction threshold +/-1.0%.</x:v>
      </x:c>
      <x:c r="M136" s="10" t="n">
        <x:v>791</x:v>
      </x:c>
      <x:c r="N136" s="3" t="str">
        <x:v>{"recorded_at": 1789163090, "environment": "production", "regime": "ACTIVE / MIXED", "expectation": "Movement is sufficient, but market direction is divided.", "sample_size": 48, "up_pct": 25.0, "down_pct": 29.2, "active_pct": 91.7, "median_change_pct": 0.29, "median_range_pct": 8.15, "formula": "Liquid non-stable USDT pairs: volume &gt;= 10M; up/down threshold +/-1.5%; active logarithmic range threshold 3.0%; quiet active breadth threshold 35%; median direction threshold +/-1.0%."}</x:v>
      </x:c>
    </x:row>
    <x:row r="137" ht="21" customHeight="1">
      <x:c r="A137" s="8" t="n">
        <x:v>46277.0418287037</x:v>
      </x:c>
      <x:c r="B137" s="10" t="n">
        <x:v>1789164014</x:v>
      </x:c>
      <x:c r="C137" s="3" t="str">
        <x:v>production</x:v>
      </x:c>
      <x:c r="D137" s="3" t="str">
        <x:v>ACTIVE / MIXED</x:v>
      </x:c>
      <x:c r="E137" s="3" t="str">
        <x:v>Movement is sufficient, but market direction is divided.</x:v>
      </x:c>
      <x:c r="F137" s="10" t="n">
        <x:v>48</x:v>
      </x:c>
      <x:c r="G137" s="9" t="n">
        <x:v>16.7</x:v>
      </x:c>
      <x:c r="H137" s="9" t="n">
        <x:v>37.5</x:v>
      </x:c>
      <x:c r="I137" s="9" t="n">
        <x:v>91.7</x:v>
      </x:c>
      <x:c r="J137" s="9" t="n">
        <x:v>-0.15</x:v>
      </x:c>
      <x:c r="K137" s="9" t="n">
        <x:v>8.15</x:v>
      </x:c>
      <x:c r="L137" s="3" t="str">
        <x:v>Liquid non-stable USDT pairs: volume &gt;= 10M; up/down threshold +/-1.5%; active logarithmic range threshold 3.0%; quiet active breadth threshold 35%; median direction threshold +/-1.0%.</x:v>
      </x:c>
      <x:c r="M137" s="10" t="n">
        <x:v>792</x:v>
      </x:c>
      <x:c r="N137" s="3" t="str">
        <x:v>{"recorded_at": 1789164014, "environment": "production", "regime": "ACTIVE / MIXED", "expectation": "Movement is sufficient, but market direction is divided.", "sample_size": 48, "up_pct": 16.7, "down_pct": 37.5, "active_pct": 91.7, "median_change_pct": -0.15, "median_range_pct": 8.15, "formula": "Liquid non-stable USDT pairs: volume &gt;= 10M; up/down threshold +/-1.5%; active logarithmic range threshold 3.0%; quiet active breadth threshold 35%; median direction threshold +/-1.0%."}</x:v>
      </x:c>
    </x:row>
    <x:row r="138" ht="21" customHeight="1">
      <x:c r="A138" s="8" t="n">
        <x:v>46277.052511574075</x:v>
      </x:c>
      <x:c r="B138" s="10" t="n">
        <x:v>1789164937</x:v>
      </x:c>
      <x:c r="C138" s="3" t="str">
        <x:v>production</x:v>
      </x:c>
      <x:c r="D138" s="3" t="str">
        <x:v>ACTIVE / MIXED</x:v>
      </x:c>
      <x:c r="E138" s="3" t="str">
        <x:v>Movement is sufficient, but market direction is divided.</x:v>
      </x:c>
      <x:c r="F138" s="10" t="n">
        <x:v>48</x:v>
      </x:c>
      <x:c r="G138" s="9" t="n">
        <x:v>16.7</x:v>
      </x:c>
      <x:c r="H138" s="9" t="n">
        <x:v>37.5</x:v>
      </x:c>
      <x:c r="I138" s="9" t="n">
        <x:v>91.7</x:v>
      </x:c>
      <x:c r="J138" s="9" t="n">
        <x:v>-0.19</x:v>
      </x:c>
      <x:c r="K138" s="9" t="n">
        <x:v>8.15</x:v>
      </x:c>
      <x:c r="L138" s="3" t="str">
        <x:v>Liquid non-stable USDT pairs: volume &gt;= 10M; up/down threshold +/-1.5%; active logarithmic range threshold 3.0%; quiet active breadth threshold 35%; median direction threshold +/-1.0%.</x:v>
      </x:c>
      <x:c r="M138" s="10" t="n">
        <x:v>793</x:v>
      </x:c>
      <x:c r="N138" s="3" t="str">
        <x:v>{"recorded_at": 1789164937, "environment": "production", "regime": "ACTIVE / MIXED", "expectation": "Movement is sufficient, but market direction is divided.", "sample_size": 48, "up_pct": 16.7, "down_pct": 37.5, "active_pct": 91.7, "median_change_pct": -0.19, "median_range_pct": 8.15, "formula": "Liquid non-stable USDT pairs: volume &gt;= 10M; up/down threshold +/-1.5%; active logarithmic range threshold 3.0%; quiet active breadth threshold 35%; median direction threshold +/-1.0%."}</x:v>
      </x:c>
    </x:row>
    <x:row r="139" ht="21" customHeight="1">
      <x:c r="A139" s="8" t="n">
        <x:v>46277.06324074074</x:v>
      </x:c>
      <x:c r="B139" s="10" t="n">
        <x:v>1789165864</x:v>
      </x:c>
      <x:c r="C139" s="3" t="str">
        <x:v>production</x:v>
      </x:c>
      <x:c r="D139" s="3" t="str">
        <x:v>ACTIVE / MIXED</x:v>
      </x:c>
      <x:c r="E139" s="3" t="str">
        <x:v>Movement is sufficient, but market direction is divided.</x:v>
      </x:c>
      <x:c r="F139" s="10" t="n">
        <x:v>48</x:v>
      </x:c>
      <x:c r="G139" s="9" t="n">
        <x:v>14.6</x:v>
      </x:c>
      <x:c r="H139" s="9" t="n">
        <x:v>37.5</x:v>
      </x:c>
      <x:c r="I139" s="9" t="n">
        <x:v>91.7</x:v>
      </x:c>
      <x:c r="J139" s="9" t="n">
        <x:v>-0.42</x:v>
      </x:c>
      <x:c r="K139" s="9" t="n">
        <x:v>8.15</x:v>
      </x:c>
      <x:c r="L139" s="3" t="str">
        <x:v>Liquid non-stable USDT pairs: volume &gt;= 10M; up/down threshold +/-1.5%; active logarithmic range threshold 3.0%; quiet active breadth threshold 35%; median direction threshold +/-1.0%.</x:v>
      </x:c>
      <x:c r="M139" s="10" t="n">
        <x:v>794</x:v>
      </x:c>
      <x:c r="N139" s="3" t="str">
        <x:v>{"recorded_at": 1789165864, "environment": "production", "regime": "ACTIVE / MIXED", "expectation": "Movement is sufficient, but market direction is divided.", "sample_size": 48, "up_pct": 14.6, "down_pct": 37.5, "active_pct": 91.7, "median_change_pct": -0.42, "median_range_pct": 8.15, "formula": "Liquid non-stable USDT pairs: volume &gt;= 10M; up/down threshold +/-1.5%; active logarithmic range threshold 3.0%; quiet active breadth threshold 35%; median direction threshold +/-1.0%."}</x:v>
      </x:c>
    </x:row>
    <x:row r="140" ht="21" customHeight="1">
      <x:c r="A140" s="8" t="n">
        <x:v>46277.07393518519</x:v>
      </x:c>
      <x:c r="B140" s="10" t="n">
        <x:v>1789166788</x:v>
      </x:c>
      <x:c r="C140" s="3" t="str">
        <x:v>production</x:v>
      </x:c>
      <x:c r="D140" s="3" t="str">
        <x:v>ACTIVE / MIXED</x:v>
      </x:c>
      <x:c r="E140" s="3" t="str">
        <x:v>Movement is sufficient, but market direction is divided.</x:v>
      </x:c>
      <x:c r="F140" s="10" t="n">
        <x:v>48</x:v>
      </x:c>
      <x:c r="G140" s="9" t="n">
        <x:v>22.9</x:v>
      </x:c>
      <x:c r="H140" s="9" t="n">
        <x:v>33.3</x:v>
      </x:c>
      <x:c r="I140" s="9" t="n">
        <x:v>91.7</x:v>
      </x:c>
      <x:c r="J140" s="9" t="n">
        <x:v>-0.08</x:v>
      </x:c>
      <x:c r="K140" s="9" t="n">
        <x:v>8.15</x:v>
      </x:c>
      <x:c r="L140" s="3" t="str">
        <x:v>Liquid non-stable USDT pairs: volume &gt;= 10M; up/down threshold +/-1.5%; active logarithmic range threshold 3.0%; quiet active breadth threshold 35%; median direction threshold +/-1.0%.</x:v>
      </x:c>
      <x:c r="M140" s="10" t="n">
        <x:v>795</x:v>
      </x:c>
      <x:c r="N140" s="3" t="str">
        <x:v>{"recorded_at": 1789166788, "environment": "production", "regime": "ACTIVE / MIXED", "expectation": "Movement is sufficient, but market direction is divided.", "sample_size": 48, "up_pct": 22.9, "down_pct": 33.3, "active_pct": 91.7, "median_change_pct": -0.08, "median_range_pct": 8.15, "formula": "Liquid non-stable USDT pairs: volume &gt;= 10M; up/down threshold +/-1.5%; active logarithmic range threshold 3.0%; quiet active breadth threshold 35%; median direction threshold +/-1.0%."}</x:v>
      </x:c>
    </x:row>
    <x:row r="141" ht="21" customHeight="1">
      <x:c r="A141" s="8" t="n">
        <x:v>46277.08452546296</x:v>
      </x:c>
      <x:c r="B141" s="10" t="n">
        <x:v>1789167703</x:v>
      </x:c>
      <x:c r="C141" s="3" t="str">
        <x:v>production</x:v>
      </x:c>
      <x:c r="D141" s="3" t="str">
        <x:v>ACTIVE / MIXED</x:v>
      </x:c>
      <x:c r="E141" s="3" t="str">
        <x:v>Movement is sufficient, but market direction is divided.</x:v>
      </x:c>
      <x:c r="F141" s="10" t="n">
        <x:v>48</x:v>
      </x:c>
      <x:c r="G141" s="9" t="n">
        <x:v>22.9</x:v>
      </x:c>
      <x:c r="H141" s="9" t="n">
        <x:v>29.2</x:v>
      </x:c>
      <x:c r="I141" s="9" t="n">
        <x:v>91.7</x:v>
      </x:c>
      <x:c r="J141" s="9" t="n">
        <x:v>0.15</x:v>
      </x:c>
      <x:c r="K141" s="9" t="n">
        <x:v>8.15</x:v>
      </x:c>
      <x:c r="L141" s="3" t="str">
        <x:v>Liquid non-stable USDT pairs: volume &gt;= 10M; up/down threshold +/-1.5%; active logarithmic range threshold 3.0%; quiet active breadth threshold 35%; median direction threshold +/-1.0%.</x:v>
      </x:c>
      <x:c r="M141" s="10" t="n">
        <x:v>796</x:v>
      </x:c>
      <x:c r="N141" s="3" t="str">
        <x:v>{"recorded_at": 1789167703, "environment": "production", "regime": "ACTIVE / MIXED", "expectation": "Movement is sufficient, but market direction is divided.", "sample_size": 48, "up_pct": 22.9, "down_pct": 29.2, "active_pct": 91.7, "median_change_pct": 0.15, "median_range_pct": 8.15, "formula": "Liquid non-stable USDT pairs: volume &gt;= 10M; up/down threshold +/-1.5%; active logarithmic range threshold 3.0%; quiet active breadth threshold 35%; median direction threshold +/-1.0%."}</x:v>
      </x:c>
    </x:row>
    <x:row r="142" ht="21" customHeight="1">
      <x:c r="A142" s="8" t="n">
        <x:v>46277.095300925925</x:v>
      </x:c>
      <x:c r="B142" s="10" t="n">
        <x:v>1789168634</x:v>
      </x:c>
      <x:c r="C142" s="3" t="str">
        <x:v>production</x:v>
      </x:c>
      <x:c r="D142" s="3" t="str">
        <x:v>ACTIVE / MIXED</x:v>
      </x:c>
      <x:c r="E142" s="3" t="str">
        <x:v>Movement is sufficient, but market direction is divided.</x:v>
      </x:c>
      <x:c r="F142" s="10" t="n">
        <x:v>48</x:v>
      </x:c>
      <x:c r="G142" s="9" t="n">
        <x:v>35.4</x:v>
      </x:c>
      <x:c r="H142" s="9" t="n">
        <x:v>25</x:v>
      </x:c>
      <x:c r="I142" s="9" t="n">
        <x:v>91.7</x:v>
      </x:c>
      <x:c r="J142" s="9" t="n">
        <x:v>0.65</x:v>
      </x:c>
      <x:c r="K142" s="9" t="n">
        <x:v>8.15</x:v>
      </x:c>
      <x:c r="L142" s="3" t="str">
        <x:v>Liquid non-stable USDT pairs: volume &gt;= 10M; up/down threshold +/-1.5%; active logarithmic range threshold 3.0%; quiet active breadth threshold 35%; median direction threshold +/-1.0%.</x:v>
      </x:c>
      <x:c r="M142" s="10" t="n">
        <x:v>797</x:v>
      </x:c>
      <x:c r="N142" s="3" t="str">
        <x:v>{"recorded_at": 1789168634, "environment": "production", "regime": "ACTIVE / MIXED", "expectation": "Movement is sufficient, but market direction is divided.", "sample_size": 48, "up_pct": 35.4, "down_pct": 25.0, "active_pct": 91.7, "median_change_pct": 0.65, "median_range_pct": 8.15, "formula": "Liquid non-stable USDT pairs: volume &gt;= 10M; up/down threshold +/-1.5%; active logarithmic range threshold 3.0%; quiet active breadth threshold 35%; median direction threshold +/-1.0%."}</x:v>
      </x:c>
    </x:row>
    <x:row r="143" ht="21" customHeight="1">
      <x:c r="A143" s="8" t="n">
        <x:v>46277.106099537035</x:v>
      </x:c>
      <x:c r="B143" s="10" t="n">
        <x:v>1789169567</x:v>
      </x:c>
      <x:c r="C143" s="3" t="str">
        <x:v>production</x:v>
      </x:c>
      <x:c r="D143" s="3" t="str">
        <x:v>ACTIVE / MIXED</x:v>
      </x:c>
      <x:c r="E143" s="3" t="str">
        <x:v>Movement is sufficient, but market direction is divided.</x:v>
      </x:c>
      <x:c r="F143" s="10" t="n">
        <x:v>48</x:v>
      </x:c>
      <x:c r="G143" s="9" t="n">
        <x:v>37.5</x:v>
      </x:c>
      <x:c r="H143" s="9" t="n">
        <x:v>25</x:v>
      </x:c>
      <x:c r="I143" s="9" t="n">
        <x:v>91.7</x:v>
      </x:c>
      <x:c r="J143" s="9" t="n">
        <x:v>0.72</x:v>
      </x:c>
      <x:c r="K143" s="9" t="n">
        <x:v>8.15</x:v>
      </x:c>
      <x:c r="L143" s="3" t="str">
        <x:v>Liquid non-stable USDT pairs: volume &gt;= 10M; up/down threshold +/-1.5%; active logarithmic range threshold 3.0%; quiet active breadth threshold 35%; median direction threshold +/-1.0%.</x:v>
      </x:c>
      <x:c r="M143" s="10" t="n">
        <x:v>798</x:v>
      </x:c>
      <x:c r="N143" s="3" t="str">
        <x:v>{"recorded_at": 1789169567, "environment": "production", "regime": "ACTIVE / MIXED", "expectation": "Movement is sufficient, but market direction is divided.", "sample_size": 48, "up_pct": 37.5, "down_pct": 25.0, "active_pct": 91.7, "median_change_pct": 0.72, "median_range_pct": 8.15, "formula": "Liquid non-stable USDT pairs: volume &gt;= 10M; up/down threshold +/-1.5%; active logarithmic range threshold 3.0%; quiet active breadth threshold 35%; median direction threshold +/-1.0%."}</x:v>
      </x:c>
    </x:row>
    <x:row r="144" ht="21" customHeight="1">
      <x:c r="A144" s="8" t="n">
        <x:v>46277.11682870371</x:v>
      </x:c>
      <x:c r="B144" s="10" t="n">
        <x:v>1789170494</x:v>
      </x:c>
      <x:c r="C144" s="3" t="str">
        <x:v>production</x:v>
      </x:c>
      <x:c r="D144" s="3" t="str">
        <x:v>ACTIVE / MIXED</x:v>
      </x:c>
      <x:c r="E144" s="3" t="str">
        <x:v>Movement is sufficient, but market direction is divided.</x:v>
      </x:c>
      <x:c r="F144" s="10" t="n">
        <x:v>48</x:v>
      </x:c>
      <x:c r="G144" s="9" t="n">
        <x:v>37.5</x:v>
      </x:c>
      <x:c r="H144" s="9" t="n">
        <x:v>20.8</x:v>
      </x:c>
      <x:c r="I144" s="9" t="n">
        <x:v>91.7</x:v>
      </x:c>
      <x:c r="J144" s="9" t="n">
        <x:v>0.79</x:v>
      </x:c>
      <x:c r="K144" s="9" t="n">
        <x:v>8.15</x:v>
      </x:c>
      <x:c r="L144" s="3" t="str">
        <x:v>Liquid non-stable USDT pairs: volume &gt;= 10M; up/down threshold +/-1.5%; active logarithmic range threshold 3.0%; quiet active breadth threshold 35%; median direction threshold +/-1.0%.</x:v>
      </x:c>
      <x:c r="M144" s="10" t="n">
        <x:v>799</x:v>
      </x:c>
      <x:c r="N144" s="3" t="str">
        <x:v>{"recorded_at": 1789170494, "environment": "production", "regime": "ACTIVE / MIXED", "expectation": "Movement is sufficient, but market direction is divided.", "sample_size": 48, "up_pct": 37.5, "down_pct": 20.8, "active_pct": 91.7, "median_change_pct": 0.79, "median_range_pct": 8.15, "formula": "Liquid non-stable USDT pairs: volume &gt;= 10M; up/down threshold +/-1.5%; active logarithmic range threshold 3.0%; quiet active breadth threshold 35%; median direction threshold +/-1.0%."}</x:v>
      </x:c>
    </x:row>
    <x:row r="145" ht="21" customHeight="1">
      <x:c r="A145" s="8" t="n">
        <x:v>46277.12756944444</x:v>
      </x:c>
      <x:c r="B145" s="10" t="n">
        <x:v>1789171422</x:v>
      </x:c>
      <x:c r="C145" s="3" t="str">
        <x:v>production</x:v>
      </x:c>
      <x:c r="D145" s="3" t="str">
        <x:v>ACTIVE / MIXED</x:v>
      </x:c>
      <x:c r="E145" s="3" t="str">
        <x:v>Movement is sufficient, but market direction is divided.</x:v>
      </x:c>
      <x:c r="F145" s="10" t="n">
        <x:v>47</x:v>
      </x:c>
      <x:c r="G145" s="9" t="n">
        <x:v>44.7</x:v>
      </x:c>
      <x:c r="H145" s="9" t="n">
        <x:v>21.3</x:v>
      </x:c>
      <x:c r="I145" s="9" t="n">
        <x:v>91.5</x:v>
      </x:c>
      <x:c r="J145" s="9" t="n">
        <x:v>0.99</x:v>
      </x:c>
      <x:c r="K145" s="9" t="n">
        <x:v>8.07</x:v>
      </x:c>
      <x:c r="L145" s="3" t="str">
        <x:v>Liquid non-stable USDT pairs: volume &gt;= 10M; up/down threshold +/-1.5%; active logarithmic range threshold 3.0%; quiet active breadth threshold 35%; median direction threshold +/-1.0%.</x:v>
      </x:c>
      <x:c r="M145" s="10" t="n">
        <x:v>800</x:v>
      </x:c>
      <x:c r="N145" s="3" t="str">
        <x:v>{"recorded_at": 1789171422, "environment": "production", "regime": "ACTIVE / MIXED", "expectation": "Movement is sufficient, but market direction is divided.", "sample_size": 47, "up_pct": 44.7, "down_pct": 21.3, "active_pct": 91.5, "median_change_pct": 0.99, "median_range_pct": 8.07, "formula": "Liquid non-stable USDT pairs: volume &gt;= 10M; up/down threshold +/-1.5%; active logarithmic range threshold 3.0%; quiet active breadth threshold 35%; median direction threshold +/-1.0%."}</x:v>
      </x:c>
    </x:row>
    <x:row r="146" ht="21" customHeight="1">
      <x:c r="A146" s="8" t="n">
        <x:v>46277.138391203705</x:v>
      </x:c>
      <x:c r="B146" s="10" t="n">
        <x:v>1789172357</x:v>
      </x:c>
      <x:c r="C146" s="3" t="str">
        <x:v>production</x:v>
      </x:c>
      <x:c r="D146" s="3" t="str">
        <x:v>ACTIVE / MIXED</x:v>
      </x:c>
      <x:c r="E146" s="3" t="str">
        <x:v>Movement is sufficient, but market direction is divided.</x:v>
      </x:c>
      <x:c r="F146" s="10" t="n">
        <x:v>47</x:v>
      </x:c>
      <x:c r="G146" s="9" t="n">
        <x:v>34</x:v>
      </x:c>
      <x:c r="H146" s="9" t="n">
        <x:v>21.3</x:v>
      </x:c>
      <x:c r="I146" s="9" t="n">
        <x:v>91.5</x:v>
      </x:c>
      <x:c r="J146" s="9" t="n">
        <x:v>0.66</x:v>
      </x:c>
      <x:c r="K146" s="9" t="n">
        <x:v>8.07</x:v>
      </x:c>
      <x:c r="L146" s="3" t="str">
        <x:v>Liquid non-stable USDT pairs: volume &gt;= 10M; up/down threshold +/-1.5%; active logarithmic range threshold 3.0%; quiet active breadth threshold 35%; median direction threshold +/-1.0%.</x:v>
      </x:c>
      <x:c r="M146" s="10" t="n">
        <x:v>801</x:v>
      </x:c>
      <x:c r="N146" s="3" t="str">
        <x:v>{"recorded_at": 1789172357, "environment": "production", "regime": "ACTIVE / MIXED", "expectation": "Movement is sufficient, but market direction is divided.", "sample_size": 47, "up_pct": 34.0, "down_pct": 21.3, "active_pct": 91.5, "median_change_pct": 0.66, "median_range_pct": 8.07, "formula": "Liquid non-stable USDT pairs: volume &gt;= 10M; up/down threshold +/-1.5%; active logarithmic range threshold 3.0%; quiet active breadth threshold 35%; median direction threshold +/-1.0%."}</x:v>
      </x:c>
    </x:row>
    <x:row r="147" ht="21" customHeight="1">
      <x:c r="A147" s="8" t="n">
        <x:v>46277.14910879629</x:v>
      </x:c>
      <x:c r="B147" s="10" t="n">
        <x:v>1789173283</x:v>
      </x:c>
      <x:c r="C147" s="3" t="str">
        <x:v>production</x:v>
      </x:c>
      <x:c r="D147" s="3" t="str">
        <x:v>ACTIVE / MIXED</x:v>
      </x:c>
      <x:c r="E147" s="3" t="str">
        <x:v>Movement is sufficient, but market direction is divided.</x:v>
      </x:c>
      <x:c r="F147" s="10" t="n">
        <x:v>47</x:v>
      </x:c>
      <x:c r="G147" s="9" t="n">
        <x:v>36.2</x:v>
      </x:c>
      <x:c r="H147" s="9" t="n">
        <x:v>21.3</x:v>
      </x:c>
      <x:c r="I147" s="9" t="n">
        <x:v>89.4</x:v>
      </x:c>
      <x:c r="J147" s="9" t="n">
        <x:v>0.7</x:v>
      </x:c>
      <x:c r="K147" s="9" t="n">
        <x:v>8.07</x:v>
      </x:c>
      <x:c r="L147" s="3" t="str">
        <x:v>Liquid non-stable USDT pairs: volume &gt;= 10M; up/down threshold +/-1.5%; active logarithmic range threshold 3.0%; quiet active breadth threshold 35%; median direction threshold +/-1.0%.</x:v>
      </x:c>
      <x:c r="M147" s="10" t="n">
        <x:v>802</x:v>
      </x:c>
      <x:c r="N147" s="3" t="str">
        <x:v>{"recorded_at": 1789173283, "environment": "production", "regime": "ACTIVE / MIXED", "expectation": "Movement is sufficient, but market direction is divided.", "sample_size": 47, "up_pct": 36.2, "down_pct": 21.3, "active_pct": 89.4, "median_change_pct": 0.7, "median_range_pct": 8.07, "formula": "Liquid non-stable USDT pairs: volume &gt;= 10M; up/down threshold +/-1.5%; active logarithmic range threshold 3.0%; quiet active breadth threshold 35%; median direction threshold +/-1.0%."}</x:v>
      </x:c>
    </x:row>
    <x:row r="148" ht="21" customHeight="1">
      <x:c r="A148" s="8" t="n">
        <x:v>46277.159733796296</x:v>
      </x:c>
      <x:c r="B148" s="10" t="n">
        <x:v>1789174201</x:v>
      </x:c>
      <x:c r="C148" s="3" t="str">
        <x:v>production</x:v>
      </x:c>
      <x:c r="D148" s="3" t="str">
        <x:v>ACTIVE / MIXED</x:v>
      </x:c>
      <x:c r="E148" s="3" t="str">
        <x:v>Movement is sufficient, but market direction is divided.</x:v>
      </x:c>
      <x:c r="F148" s="10" t="n">
        <x:v>47</x:v>
      </x:c>
      <x:c r="G148" s="9" t="n">
        <x:v>42.6</x:v>
      </x:c>
      <x:c r="H148" s="9" t="n">
        <x:v>21.3</x:v>
      </x:c>
      <x:c r="I148" s="9" t="n">
        <x:v>89.4</x:v>
      </x:c>
      <x:c r="J148" s="9" t="n">
        <x:v>0.99</x:v>
      </x:c>
      <x:c r="K148" s="9" t="n">
        <x:v>8.07</x:v>
      </x:c>
      <x:c r="L148" s="3" t="str">
        <x:v>Liquid non-stable USDT pairs: volume &gt;= 10M; up/down threshold +/-1.5%; active logarithmic range threshold 3.0%; quiet active breadth threshold 35%; median direction threshold +/-1.0%.</x:v>
      </x:c>
      <x:c r="M148" s="10" t="n">
        <x:v>803</x:v>
      </x:c>
      <x:c r="N148" s="3" t="str">
        <x:v>{"recorded_at": 1789174201, "environment": "production", "regime": "ACTIVE / MIXED", "expectation": "Movement is sufficient, but market direction is divided.", "sample_size": 47, "up_pct": 42.6, "down_pct": 21.3, "active_pct": 89.4, "median_change_pct": 0.99, "median_range_pct": 8.07, "formula": "Liquid non-stable USDT pairs: volume &gt;= 10M; up/down threshold +/-1.5%; active logarithmic range threshold 3.0%; quiet active breadth threshold 35%; median direction threshold +/-1.0%."}</x:v>
      </x:c>
    </x:row>
    <x:row r="149" ht="21" customHeight="1">
      <x:c r="A149" s="8" t="n">
        <x:v>46277.17034722222</x:v>
      </x:c>
      <x:c r="B149" s="10" t="n">
        <x:v>1789175118</x:v>
      </x:c>
      <x:c r="C149" s="3" t="str">
        <x:v>production</x:v>
      </x:c>
      <x:c r="D149" s="3" t="str">
        <x:v>ACTIVE / MIXED</x:v>
      </x:c>
      <x:c r="E149" s="3" t="str">
        <x:v>Movement is sufficient, but market direction is divided.</x:v>
      </x:c>
      <x:c r="F149" s="10" t="n">
        <x:v>47</x:v>
      </x:c>
      <x:c r="G149" s="9" t="n">
        <x:v>29.8</x:v>
      </x:c>
      <x:c r="H149" s="9" t="n">
        <x:v>21.3</x:v>
      </x:c>
      <x:c r="I149" s="9" t="n">
        <x:v>89.4</x:v>
      </x:c>
      <x:c r="J149" s="9" t="n">
        <x:v>0.41</x:v>
      </x:c>
      <x:c r="K149" s="9" t="n">
        <x:v>8.07</x:v>
      </x:c>
      <x:c r="L149" s="3" t="str">
        <x:v>Liquid non-stable USDT pairs: volume &gt;= 10M; up/down threshold +/-1.5%; active logarithmic range threshold 3.0%; quiet active breadth threshold 35%; median direction threshold +/-1.0%.</x:v>
      </x:c>
      <x:c r="M149" s="10" t="n">
        <x:v>804</x:v>
      </x:c>
      <x:c r="N149" s="3" t="str">
        <x:v>{"recorded_at": 1789175118, "environment": "production", "regime": "ACTIVE / MIXED", "expectation": "Movement is sufficient, but market direction is divided.", "sample_size": 47, "up_pct": 29.8, "down_pct": 21.3, "active_pct": 89.4, "median_change_pct": 0.41, "median_range_pct": 8.07, "formula": "Liquid non-stable USDT pairs: volume &gt;= 10M; up/down threshold +/-1.5%; active logarithmic range threshold 3.0%; quiet active breadth threshold 35%; median direction threshold +/-1.0%."}</x:v>
      </x:c>
    </x:row>
    <x:row r="150" ht="21" customHeight="1">
      <x:c r="A150" s="8" t="n">
        <x:v>46277.180868055555</x:v>
      </x:c>
      <x:c r="B150" s="10" t="n">
        <x:v>1789176027</x:v>
      </x:c>
      <x:c r="C150" s="3" t="str">
        <x:v>production</x:v>
      </x:c>
      <x:c r="D150" s="3" t="str">
        <x:v>ACTIVE / MIXED</x:v>
      </x:c>
      <x:c r="E150" s="3" t="str">
        <x:v>Movement is sufficient, but market direction is divided.</x:v>
      </x:c>
      <x:c r="F150" s="10" t="n">
        <x:v>47</x:v>
      </x:c>
      <x:c r="G150" s="9" t="n">
        <x:v>31.9</x:v>
      </x:c>
      <x:c r="H150" s="9" t="n">
        <x:v>21.3</x:v>
      </x:c>
      <x:c r="I150" s="9" t="n">
        <x:v>89.4</x:v>
      </x:c>
      <x:c r="J150" s="9" t="n">
        <x:v>0.53</x:v>
      </x:c>
      <x:c r="K150" s="9" t="n">
        <x:v>8.07</x:v>
      </x:c>
      <x:c r="L150" s="3" t="str">
        <x:v>Liquid non-stable USDT pairs: volume &gt;= 10M; up/down threshold +/-1.5%; active logarithmic range threshold 3.0%; quiet active breadth threshold 35%; median direction threshold +/-1.0%.</x:v>
      </x:c>
      <x:c r="M150" s="10" t="n">
        <x:v>805</x:v>
      </x:c>
      <x:c r="N150" s="3" t="str">
        <x:v>{"recorded_at": 1789176027, "environment": "production", "regime": "ACTIVE / MIXED", "expectation": "Movement is sufficient, but market direction is divided.", "sample_size": 47, "up_pct": 31.9, "down_pct": 21.3, "active_pct": 89.4, "median_change_pct": 0.53, "median_range_pct": 8.07, "formula": "Liquid non-stable USDT pairs: volume &gt;= 10M; up/down threshold +/-1.5%; active logarithmic range threshold 3.0%; quiet active breadth threshold 35%; median direction threshold +/-1.0%."}</x:v>
      </x:c>
    </x:row>
    <x:row r="151" ht="21" customHeight="1">
      <x:c r="A151" s="8" t="n">
        <x:v>46277.19143518519</x:v>
      </x:c>
      <x:c r="B151" s="10" t="n">
        <x:v>1789176940</x:v>
      </x:c>
      <x:c r="C151" s="3" t="str">
        <x:v>production</x:v>
      </x:c>
      <x:c r="D151" s="3" t="str">
        <x:v>ACTIVE / MIXED</x:v>
      </x:c>
      <x:c r="E151" s="3" t="str">
        <x:v>Movement is sufficient, but market direction is divided.</x:v>
      </x:c>
      <x:c r="F151" s="10" t="n">
        <x:v>47</x:v>
      </x:c>
      <x:c r="G151" s="9" t="n">
        <x:v>36.2</x:v>
      </x:c>
      <x:c r="H151" s="9" t="n">
        <x:v>21.3</x:v>
      </x:c>
      <x:c r="I151" s="9" t="n">
        <x:v>89.4</x:v>
      </x:c>
      <x:c r="J151" s="9" t="n">
        <x:v>0.48</x:v>
      </x:c>
      <x:c r="K151" s="9" t="n">
        <x:v>8.07</x:v>
      </x:c>
      <x:c r="L151" s="3" t="str">
        <x:v>Liquid non-stable USDT pairs: volume &gt;= 10M; up/down threshold +/-1.5%; active logarithmic range threshold 3.0%; quiet active breadth threshold 35%; median direction threshold +/-1.0%.</x:v>
      </x:c>
      <x:c r="M151" s="10" t="n">
        <x:v>806</x:v>
      </x:c>
      <x:c r="N151" s="3" t="str">
        <x:v>{"recorded_at": 1789176940, "environment": "production", "regime": "ACTIVE / MIXED", "expectation": "Movement is sufficient, but market direction is divided.", "sample_size": 47, "up_pct": 36.2, "down_pct": 21.3, "active_pct": 89.4, "median_change_pct": 0.48, "median_range_pct": 8.07, "formula": "Liquid non-stable USDT pairs: volume &gt;= 10M; up/down threshold +/-1.5%; active logarithmic range threshold 3.0%; quiet active breadth threshold 35%; median direction threshold +/-1.0%."}</x:v>
      </x:c>
    </x:row>
    <x:row r="152" ht="21" customHeight="1">
      <x:c r="A152" s="8" t="n">
        <x:v>46277.20211805555</x:v>
      </x:c>
      <x:c r="B152" s="10" t="n">
        <x:v>1789177863</x:v>
      </x:c>
      <x:c r="C152" s="3" t="str">
        <x:v>production</x:v>
      </x:c>
      <x:c r="D152" s="3" t="str">
        <x:v>ACTIVE / MIXED</x:v>
      </x:c>
      <x:c r="E152" s="3" t="str">
        <x:v>Movement is sufficient, but market direction is divided.</x:v>
      </x:c>
      <x:c r="F152" s="10" t="n">
        <x:v>48</x:v>
      </x:c>
      <x:c r="G152" s="9" t="n">
        <x:v>39.6</x:v>
      </x:c>
      <x:c r="H152" s="9" t="n">
        <x:v>18.8</x:v>
      </x:c>
      <x:c r="I152" s="9" t="n">
        <x:v>89.6</x:v>
      </x:c>
      <x:c r="J152" s="9" t="n">
        <x:v>0.83</x:v>
      </x:c>
      <x:c r="K152" s="9" t="n">
        <x:v>8.15</x:v>
      </x:c>
      <x:c r="L152" s="3" t="str">
        <x:v>Liquid non-stable USDT pairs: volume &gt;= 10M; up/down threshold +/-1.5%; active logarithmic range threshold 3.0%; quiet active breadth threshold 35%; median direction threshold +/-1.0%.</x:v>
      </x:c>
      <x:c r="M152" s="10" t="n">
        <x:v>807</x:v>
      </x:c>
      <x:c r="N152" s="3" t="str">
        <x:v>{"recorded_at": 1789177863, "environment": "production", "regime": "ACTIVE / MIXED", "expectation": "Movement is sufficient, but market direction is divided.", "sample_size": 48, "up_pct": 39.6, "down_pct": 18.8, "active_pct": 89.6, "median_change_pct": 0.83, "median_range_pct": 8.15, "formula": "Liquid non-stable USDT pairs: volume &gt;= 10M; up/down threshold +/-1.5%; active logarithmic range threshold 3.0%; quiet active breadth threshold 35%; median direction threshold +/-1.0%."}</x:v>
      </x:c>
    </x:row>
    <x:row r="153" ht="21" customHeight="1">
      <x:c r="A153" s="8" t="n">
        <x:v>46277.21271990741</x:v>
      </x:c>
      <x:c r="B153" s="10" t="n">
        <x:v>1789178779</x:v>
      </x:c>
      <x:c r="C153" s="3" t="str">
        <x:v>production</x:v>
      </x:c>
      <x:c r="D153" s="3" t="str">
        <x:v>ACTIVE / MIXED</x:v>
      </x:c>
      <x:c r="E153" s="3" t="str">
        <x:v>Movement is sufficient, but market direction is divided.</x:v>
      </x:c>
      <x:c r="F153" s="10" t="n">
        <x:v>48</x:v>
      </x:c>
      <x:c r="G153" s="9" t="n">
        <x:v>33.3</x:v>
      </x:c>
      <x:c r="H153" s="9" t="n">
        <x:v>20.8</x:v>
      </x:c>
      <x:c r="I153" s="9" t="n">
        <x:v>89.6</x:v>
      </x:c>
      <x:c r="J153" s="9" t="n">
        <x:v>0.45</x:v>
      </x:c>
      <x:c r="K153" s="9" t="n">
        <x:v>8.15</x:v>
      </x:c>
      <x:c r="L153" s="3" t="str">
        <x:v>Liquid non-stable USDT pairs: volume &gt;= 10M; up/down threshold +/-1.5%; active logarithmic range threshold 3.0%; quiet active breadth threshold 35%; median direction threshold +/-1.0%.</x:v>
      </x:c>
      <x:c r="M153" s="10" t="n">
        <x:v>808</x:v>
      </x:c>
      <x:c r="N153" s="3" t="str">
        <x:v>{"recorded_at": 1789178779, "environment": "production", "regime": "ACTIVE / MIXED", "expectation": "Movement is sufficient, but market direction is divided.", "sample_size": 48, "up_pct": 33.3, "down_pct": 20.8, "active_pct": 89.6, "median_change_pct": 0.45, "median_range_pct": 8.15, "formula": "Liquid non-stable USDT pairs: volume &gt;= 10M; up/down threshold +/-1.5%; active logarithmic range threshold 3.0%; quiet active breadth threshold 35%; median direction threshold +/-1.0%."}</x:v>
      </x:c>
    </x:row>
    <x:row r="154" ht="21" customHeight="1">
      <x:c r="A154" s="8" t="n">
        <x:v>46277.22325231481</x:v>
      </x:c>
      <x:c r="B154" s="10" t="n">
        <x:v>1789179689</x:v>
      </x:c>
      <x:c r="C154" s="3" t="str">
        <x:v>production</x:v>
      </x:c>
      <x:c r="D154" s="3" t="str">
        <x:v>ACTIVE / MIXED</x:v>
      </x:c>
      <x:c r="E154" s="3" t="str">
        <x:v>Movement is sufficient, but market direction is divided.</x:v>
      </x:c>
      <x:c r="F154" s="10" t="n">
        <x:v>48</x:v>
      </x:c>
      <x:c r="G154" s="9" t="n">
        <x:v>41.7</x:v>
      </x:c>
      <x:c r="H154" s="9" t="n">
        <x:v>16.7</x:v>
      </x:c>
      <x:c r="I154" s="9" t="n">
        <x:v>89.6</x:v>
      </x:c>
      <x:c r="J154" s="9" t="n">
        <x:v>0.83</x:v>
      </x:c>
      <x:c r="K154" s="9" t="n">
        <x:v>8.15</x:v>
      </x:c>
      <x:c r="L154" s="3" t="str">
        <x:v>Liquid non-stable USDT pairs: volume &gt;= 10M; up/down threshold +/-1.5%; active logarithmic range threshold 3.0%; quiet active breadth threshold 35%; median direction threshold +/-1.0%.</x:v>
      </x:c>
      <x:c r="M154" s="10" t="n">
        <x:v>809</x:v>
      </x:c>
      <x:c r="N154" s="3" t="str">
        <x:v>{"recorded_at": 1789179689, "environment": "production", "regime": "ACTIVE / MIXED", "expectation": "Movement is sufficient, but market direction is divided.", "sample_size": 48, "up_pct": 41.7, "down_pct": 16.7, "active_pct": 89.6, "median_change_pct": 0.83, "median_range_pct": 8.15, "formula": "Liquid non-stable USDT pairs: volume &gt;= 10M; up/down threshold +/-1.5%; active logarithmic range threshold 3.0%; quiet active breadth threshold 35%; median direction threshold +/-1.0%."}</x:v>
      </x:c>
    </x:row>
    <x:row r="155" ht="21" customHeight="1">
      <x:c r="A155" s="8" t="n">
        <x:v>46277.233773148146</x:v>
      </x:c>
      <x:c r="B155" s="10" t="n">
        <x:v>1789180598</x:v>
      </x:c>
      <x:c r="C155" s="3" t="str">
        <x:v>production</x:v>
      </x:c>
      <x:c r="D155" s="3" t="str">
        <x:v>ACTIVE / POSITIVE</x:v>
      </x:c>
      <x:c r="E155" s="3" t="str">
        <x:v>Broad momentum is positive; still require entry confirmation.</x:v>
      </x:c>
      <x:c r="F155" s="10" t="n">
        <x:v>48</x:v>
      </x:c>
      <x:c r="G155" s="9" t="n">
        <x:v>43.8</x:v>
      </x:c>
      <x:c r="H155" s="9" t="n">
        <x:v>18.8</x:v>
      </x:c>
      <x:c r="I155" s="9" t="n">
        <x:v>89.6</x:v>
      </x:c>
      <x:c r="J155" s="9" t="n">
        <x:v>1.24</x:v>
      </x:c>
      <x:c r="K155" s="9" t="n">
        <x:v>8.15</x:v>
      </x:c>
      <x:c r="L155" s="3" t="str">
        <x:v>Liquid non-stable USDT pairs: volume &gt;= 10M; up/down threshold +/-1.5%; active logarithmic range threshold 3.0%; quiet active breadth threshold 35%; median direction threshold +/-1.0%.</x:v>
      </x:c>
      <x:c r="M155" s="10" t="n">
        <x:v>810</x:v>
      </x:c>
      <x:c r="N155" s="3" t="str">
        <x:v>{"recorded_at": 1789180598, "environment": "production", "regime": "ACTIVE / POSITIVE", "expectation": "Broad momentum is positive; still require entry confirmation.", "sample_size": 48, "up_pct": 43.8, "down_pct": 18.8, "active_pct": 89.6, "median_change_pct": 1.24, "median_range_pct": 8.15, "formula": "Liquid non-stable USDT pairs: volume &gt;= 10M; up/down threshold +/-1.5%; active logarithmic range threshold 3.0%; quiet active breadth threshold 35%; median direction threshold +/-1.0%."}</x:v>
      </x:c>
    </x:row>
    <x:row r="156" ht="21" customHeight="1">
      <x:c r="A156" s="8" t="n">
        <x:v>46277.24420138889</x:v>
      </x:c>
      <x:c r="B156" s="10" t="n">
        <x:v>1789181499</x:v>
      </x:c>
      <x:c r="C156" s="3" t="str">
        <x:v>production</x:v>
      </x:c>
      <x:c r="D156" s="3" t="str">
        <x:v>ACTIVE / MIXED</x:v>
      </x:c>
      <x:c r="E156" s="3" t="str">
        <x:v>Movement is sufficient, but market direction is divided.</x:v>
      </x:c>
      <x:c r="F156" s="10" t="n">
        <x:v>47</x:v>
      </x:c>
      <x:c r="G156" s="9" t="n">
        <x:v>34</x:v>
      </x:c>
      <x:c r="H156" s="9" t="n">
        <x:v>21.3</x:v>
      </x:c>
      <x:c r="I156" s="9" t="n">
        <x:v>89.4</x:v>
      </x:c>
      <x:c r="J156" s="9" t="n">
        <x:v>0.91</x:v>
      </x:c>
      <x:c r="K156" s="9" t="n">
        <x:v>8.22</x:v>
      </x:c>
      <x:c r="L156" s="3" t="str">
        <x:v>Liquid non-stable USDT pairs: volume &gt;= 10M; up/down threshold +/-1.5%; active logarithmic range threshold 3.0%; quiet active breadth threshold 35%; median direction threshold +/-1.0%.</x:v>
      </x:c>
      <x:c r="M156" s="10" t="n">
        <x:v>811</x:v>
      </x:c>
      <x:c r="N156" s="3" t="str">
        <x:v>{"recorded_at": 1789181499, "environment": "production", "regime": "ACTIVE / MIXED", "expectation": "Movement is sufficient, but market direction is divided.", "sample_size": 47, "up_pct": 34.0, "down_pct": 21.3, "active_pct": 89.4, "median_change_pct": 0.91, "median_range_pct": 8.22, "formula": "Liquid non-stable USDT pairs: volume &gt;= 10M; up/down threshold +/-1.5%; active logarithmic range threshold 3.0%; quiet active breadth threshold 35%; median direction threshold +/-1.0%."}</x:v>
      </x:c>
    </x:row>
    <x:row r="157" ht="21" customHeight="1">
      <x:c r="A157" s="8" t="n">
        <x:v>46277.25475694444</x:v>
      </x:c>
      <x:c r="B157" s="10" t="n">
        <x:v>1789182411</x:v>
      </x:c>
      <x:c r="C157" s="3" t="str">
        <x:v>production</x:v>
      </x:c>
      <x:c r="D157" s="3" t="str">
        <x:v>ACTIVE / POSITIVE</x:v>
      </x:c>
      <x:c r="E157" s="3" t="str">
        <x:v>Broad momentum is positive; still require entry confirmation.</x:v>
      </x:c>
      <x:c r="F157" s="10" t="n">
        <x:v>47</x:v>
      </x:c>
      <x:c r="G157" s="9" t="n">
        <x:v>44.7</x:v>
      </x:c>
      <x:c r="H157" s="9" t="n">
        <x:v>14.9</x:v>
      </x:c>
      <x:c r="I157" s="9" t="n">
        <x:v>89.4</x:v>
      </x:c>
      <x:c r="J157" s="9" t="n">
        <x:v>1.45</x:v>
      </x:c>
      <x:c r="K157" s="9" t="n">
        <x:v>8.22</x:v>
      </x:c>
      <x:c r="L157" s="3" t="str">
        <x:v>Liquid non-stable USDT pairs: volume &gt;= 10M; up/down threshold +/-1.5%; active logarithmic range threshold 3.0%; quiet active breadth threshold 35%; median direction threshold +/-1.0%.</x:v>
      </x:c>
      <x:c r="M157" s="10" t="n">
        <x:v>812</x:v>
      </x:c>
      <x:c r="N157" s="3" t="str">
        <x:v>{"recorded_at": 1789182411, "environment": "production", "regime": "ACTIVE / POSITIVE", "expectation": "Broad momentum is positive; still require entry confirmation.", "sample_size": 47, "up_pct": 44.7, "down_pct": 14.9, "active_pct": 89.4, "median_change_pct": 1.45, "median_range_pct": 8.22, "formula": "Liquid non-stable USDT pairs: volume &gt;= 10M; up/down threshold +/-1.5%; active logarithmic range threshold 3.0%; quiet active breadth threshold 35%; median direction threshold +/-1.0%."}</x:v>
      </x:c>
    </x:row>
    <x:row r="158" ht="21" customHeight="1">
      <x:c r="A158" s="8" t="n">
        <x:v>46277.26540509259</x:v>
      </x:c>
      <x:c r="B158" s="10" t="n">
        <x:v>1789183331</x:v>
      </x:c>
      <x:c r="C158" s="3" t="str">
        <x:v>production</x:v>
      </x:c>
      <x:c r="D158" s="3" t="str">
        <x:v>ACTIVE / POSITIVE</x:v>
      </x:c>
      <x:c r="E158" s="3" t="str">
        <x:v>Broad momentum is positive; still require entry confirmation.</x:v>
      </x:c>
      <x:c r="F158" s="10" t="n">
        <x:v>47</x:v>
      </x:c>
      <x:c r="G158" s="9" t="n">
        <x:v>44.7</x:v>
      </x:c>
      <x:c r="H158" s="9" t="n">
        <x:v>19.1</x:v>
      </x:c>
      <x:c r="I158" s="9" t="n">
        <x:v>89.4</x:v>
      </x:c>
      <x:c r="J158" s="9" t="n">
        <x:v>1.21</x:v>
      </x:c>
      <x:c r="K158" s="9" t="n">
        <x:v>8.22</x:v>
      </x:c>
      <x:c r="L158" s="3" t="str">
        <x:v>Liquid non-stable USDT pairs: volume &gt;= 10M; up/down threshold +/-1.5%; active logarithmic range threshold 3.0%; quiet active breadth threshold 35%; median direction threshold +/-1.0%.</x:v>
      </x:c>
      <x:c r="M158" s="10" t="n">
        <x:v>813</x:v>
      </x:c>
      <x:c r="N158" s="3" t="str">
        <x:v>{"recorded_at": 1789183331, "environment": "production", "regime": "ACTIVE / POSITIVE", "expectation": "Broad momentum is positive; still require entry confirmation.", "sample_size": 47, "up_pct": 44.7, "down_pct": 19.1, "active_pct": 89.4, "median_change_pct": 1.21, "median_range_pct": 8.22, "formula": "Liquid non-stable USDT pairs: volume &gt;= 10M; up/down threshold +/-1.5%; active logarithmic range threshold 3.0%; quiet active breadth threshold 35%; median direction threshold +/-1.0%."}</x:v>
      </x:c>
    </x:row>
    <x:row r="159" ht="21" customHeight="1">
      <x:c r="A159" s="8" t="n">
        <x:v>46277.27605324074</x:v>
      </x:c>
      <x:c r="B159" s="10" t="n">
        <x:v>1789184251</x:v>
      </x:c>
      <x:c r="C159" s="3" t="str">
        <x:v>production</x:v>
      </x:c>
      <x:c r="D159" s="3" t="str">
        <x:v>ACTIVE / MIXED</x:v>
      </x:c>
      <x:c r="E159" s="3" t="str">
        <x:v>Movement is sufficient, but market direction is divided.</x:v>
      </x:c>
      <x:c r="F159" s="10" t="n">
        <x:v>47</x:v>
      </x:c>
      <x:c r="G159" s="9" t="n">
        <x:v>40.4</x:v>
      </x:c>
      <x:c r="H159" s="9" t="n">
        <x:v>21.3</x:v>
      </x:c>
      <x:c r="I159" s="9" t="n">
        <x:v>89.4</x:v>
      </x:c>
      <x:c r="J159" s="9" t="n">
        <x:v>0.91</x:v>
      </x:c>
      <x:c r="K159" s="9" t="n">
        <x:v>8.22</x:v>
      </x:c>
      <x:c r="L159" s="3" t="str">
        <x:v>Liquid non-stable USDT pairs: volume &gt;= 10M; up/down threshold +/-1.5%; active logarithmic range threshold 3.0%; quiet active breadth threshold 35%; median direction threshold +/-1.0%.</x:v>
      </x:c>
      <x:c r="M159" s="10" t="n">
        <x:v>814</x:v>
      </x:c>
      <x:c r="N159" s="3" t="str">
        <x:v>{"recorded_at": 1789184251, "environment": "production", "regime": "ACTIVE / MIXED", "expectation": "Movement is sufficient, but market direction is divided.", "sample_size": 47, "up_pct": 40.4, "down_pct": 21.3, "active_pct": 89.4, "median_change_pct": 0.91, "median_range_pct": 8.22, "formula": "Liquid non-stable USDT pairs: volume &gt;= 10M; up/down threshold +/-1.5%; active logarithmic range threshold 3.0%; quiet active breadth threshold 35%; median direction threshold +/-1.0%."}</x:v>
      </x:c>
    </x:row>
    <x:row r="160" ht="21" customHeight="1">
      <x:c r="A160" s="8" t="n">
        <x:v>46277.28668981481</x:v>
      </x:c>
      <x:c r="B160" s="10" t="n">
        <x:v>1789185170</x:v>
      </x:c>
      <x:c r="C160" s="3" t="str">
        <x:v>production</x:v>
      </x:c>
      <x:c r="D160" s="3" t="str">
        <x:v>ACTIVE / MIXED</x:v>
      </x:c>
      <x:c r="E160" s="3" t="str">
        <x:v>Movement is sufficient, but market direction is divided.</x:v>
      </x:c>
      <x:c r="F160" s="10" t="n">
        <x:v>47</x:v>
      </x:c>
      <x:c r="G160" s="9" t="n">
        <x:v>40.4</x:v>
      </x:c>
      <x:c r="H160" s="9" t="n">
        <x:v>21.3</x:v>
      </x:c>
      <x:c r="I160" s="9" t="n">
        <x:v>89.4</x:v>
      </x:c>
      <x:c r="J160" s="9" t="n">
        <x:v>0.92</x:v>
      </x:c>
      <x:c r="K160" s="9" t="n">
        <x:v>8.22</x:v>
      </x:c>
      <x:c r="L160" s="3" t="str">
        <x:v>Liquid non-stable USDT pairs: volume &gt;= 10M; up/down threshold +/-1.5%; active logarithmic range threshold 3.0%; quiet active breadth threshold 35%; median direction threshold +/-1.0%.</x:v>
      </x:c>
      <x:c r="M160" s="10" t="n">
        <x:v>815</x:v>
      </x:c>
      <x:c r="N160" s="3" t="str">
        <x:v>{"recorded_at": 1789185170, "environment": "production", "regime": "ACTIVE / MIXED", "expectation": "Movement is sufficient, but market direction is divided.", "sample_size": 47, "up_pct": 40.4, "down_pct": 21.3, "active_pct": 89.4, "median_change_pct": 0.92, "median_range_pct": 8.22, "formula": "Liquid non-stable USDT pairs: volume &gt;= 10M; up/down threshold +/-1.5%; active logarithmic range threshold 3.0%; quiet active breadth threshold 35%; median direction threshold +/-1.0%."}</x:v>
      </x:c>
    </x:row>
    <x:row r="161" ht="21" customHeight="1">
      <x:c r="A161" s="8" t="n">
        <x:v>46277.29744212963</x:v>
      </x:c>
      <x:c r="B161" s="10" t="n">
        <x:v>1789186099</x:v>
      </x:c>
      <x:c r="C161" s="3" t="str">
        <x:v>production</x:v>
      </x:c>
      <x:c r="D161" s="3" t="str">
        <x:v>ACTIVE / MIXED</x:v>
      </x:c>
      <x:c r="E161" s="3" t="str">
        <x:v>Movement is sufficient, but market direction is divided.</x:v>
      </x:c>
      <x:c r="F161" s="10" t="n">
        <x:v>47</x:v>
      </x:c>
      <x:c r="G161" s="9" t="n">
        <x:v>27.7</x:v>
      </x:c>
      <x:c r="H161" s="9" t="n">
        <x:v>27.7</x:v>
      </x:c>
      <x:c r="I161" s="9" t="n">
        <x:v>89.4</x:v>
      </x:c>
      <x:c r="J161" s="9" t="n">
        <x:v>0.45</x:v>
      </x:c>
      <x:c r="K161" s="9" t="n">
        <x:v>8.22</x:v>
      </x:c>
      <x:c r="L161" s="3" t="str">
        <x:v>Liquid non-stable USDT pairs: volume &gt;= 10M; up/down threshold +/-1.5%; active logarithmic range threshold 3.0%; quiet active breadth threshold 35%; median direction threshold +/-1.0%.</x:v>
      </x:c>
      <x:c r="M161" s="10" t="n">
        <x:v>816</x:v>
      </x:c>
      <x:c r="N161" s="3" t="str">
        <x:v>{"recorded_at": 1789186099, "environment": "production", "regime": "ACTIVE / MIXED", "expectation": "Movement is sufficient, but market direction is divided.", "sample_size": 47, "up_pct": 27.7, "down_pct": 27.7, "active_pct": 89.4, "median_change_pct": 0.45, "median_range_pct": 8.22, "formula": "Liquid non-stable USDT pairs: volume &gt;= 10M; up/down threshold +/-1.5%; active logarithmic range threshold 3.0%; quiet active breadth threshold 35%; median direction threshold +/-1.0%."}</x:v>
      </x:c>
    </x:row>
    <x:row r="162" ht="21" customHeight="1">
      <x:c r="A162" s="8" t="n">
        <x:v>46277.308171296296</x:v>
      </x:c>
      <x:c r="B162" s="10" t="n">
        <x:v>1789187026</x:v>
      </x:c>
      <x:c r="C162" s="3" t="str">
        <x:v>production</x:v>
      </x:c>
      <x:c r="D162" s="3" t="str">
        <x:v>ACTIVE / MIXED</x:v>
      </x:c>
      <x:c r="E162" s="3" t="str">
        <x:v>Movement is sufficient, but market direction is divided.</x:v>
      </x:c>
      <x:c r="F162" s="10" t="n">
        <x:v>47</x:v>
      </x:c>
      <x:c r="G162" s="9" t="n">
        <x:v>21.3</x:v>
      </x:c>
      <x:c r="H162" s="9" t="n">
        <x:v>25.5</x:v>
      </x:c>
      <x:c r="I162" s="9" t="n">
        <x:v>89.4</x:v>
      </x:c>
      <x:c r="J162" s="9" t="n">
        <x:v>0.32</x:v>
      </x:c>
      <x:c r="K162" s="9" t="n">
        <x:v>8.22</x:v>
      </x:c>
      <x:c r="L162" s="3" t="str">
        <x:v>Liquid non-stable USDT pairs: volume &gt;= 10M; up/down threshold +/-1.5%; active logarithmic range threshold 3.0%; quiet active breadth threshold 35%; median direction threshold +/-1.0%.</x:v>
      </x:c>
      <x:c r="M162" s="10" t="n">
        <x:v>817</x:v>
      </x:c>
      <x:c r="N162" s="3" t="str">
        <x:v>{"recorded_at": 1789187026, "environment": "production", "regime": "ACTIVE / MIXED", "expectation": "Movement is sufficient, but market direction is divided.", "sample_size": 47, "up_pct": 21.3, "down_pct": 25.5, "active_pct": 89.4, "median_change_pct": 0.32, "median_range_pct": 8.22, "formula": "Liquid non-stable USDT pairs: volume &gt;= 10M; up/down threshold +/-1.5%; active logarithmic range threshold 3.0%; quiet active breadth threshold 35%; median direction threshold +/-1.0%."}</x:v>
      </x:c>
    </x:row>
    <x:row r="163" ht="21" customHeight="1">
      <x:c r="A163" s="8" t="n">
        <x:v>46277.31884259259</x:v>
      </x:c>
      <x:c r="B163" s="10" t="n">
        <x:v>1789187948</x:v>
      </x:c>
      <x:c r="C163" s="3" t="str">
        <x:v>production</x:v>
      </x:c>
      <x:c r="D163" s="3" t="str">
        <x:v>ACTIVE / MIXED</x:v>
      </x:c>
      <x:c r="E163" s="3" t="str">
        <x:v>Movement is sufficient, but market direction is divided.</x:v>
      </x:c>
      <x:c r="F163" s="10" t="n">
        <x:v>47</x:v>
      </x:c>
      <x:c r="G163" s="9" t="n">
        <x:v>23.4</x:v>
      </x:c>
      <x:c r="H163" s="9" t="n">
        <x:v>27.7</x:v>
      </x:c>
      <x:c r="I163" s="9" t="n">
        <x:v>89.4</x:v>
      </x:c>
      <x:c r="J163" s="9" t="n">
        <x:v>0.22</x:v>
      </x:c>
      <x:c r="K163" s="9" t="n">
        <x:v>8.22</x:v>
      </x:c>
      <x:c r="L163" s="3" t="str">
        <x:v>Liquid non-stable USDT pairs: volume &gt;= 10M; up/down threshold +/-1.5%; active logarithmic range threshold 3.0%; quiet active breadth threshold 35%; median direction threshold +/-1.0%.</x:v>
      </x:c>
      <x:c r="M163" s="10" t="n">
        <x:v>818</x:v>
      </x:c>
      <x:c r="N163" s="3" t="str">
        <x:v>{"recorded_at": 1789187948, "environment": "production", "regime": "ACTIVE / MIXED", "expectation": "Movement is sufficient, but market direction is divided.", "sample_size": 47, "up_pct": 23.4, "down_pct": 27.7, "active_pct": 89.4, "median_change_pct": 0.22, "median_range_pct": 8.22, "formula": "Liquid non-stable USDT pairs: volume &gt;= 10M; up/down threshold +/-1.5%; active logarithmic range threshold 3.0%; quiet active breadth threshold 35%; median direction threshold +/-1.0%."}</x:v>
      </x:c>
    </x:row>
    <x:row r="164" ht="21" customHeight="1">
      <x:c r="A164" s="8" t="n">
        <x:v>46277.32934027778</x:v>
      </x:c>
      <x:c r="B164" s="10" t="n">
        <x:v>1789188855</x:v>
      </x:c>
      <x:c r="C164" s="3" t="str">
        <x:v>production</x:v>
      </x:c>
      <x:c r="D164" s="3" t="str">
        <x:v>ACTIVE / MIXED</x:v>
      </x:c>
      <x:c r="E164" s="3" t="str">
        <x:v>Movement is sufficient, but market direction is divided.</x:v>
      </x:c>
      <x:c r="F164" s="10" t="n">
        <x:v>47</x:v>
      </x:c>
      <x:c r="G164" s="9" t="n">
        <x:v>23.4</x:v>
      </x:c>
      <x:c r="H164" s="9" t="n">
        <x:v>29.8</x:v>
      </x:c>
      <x:c r="I164" s="9" t="n">
        <x:v>89.4</x:v>
      </x:c>
      <x:c r="J164" s="9" t="n">
        <x:v>0.11</x:v>
      </x:c>
      <x:c r="K164" s="9" t="n">
        <x:v>8.22</x:v>
      </x:c>
      <x:c r="L164" s="3" t="str">
        <x:v>Liquid non-stable USDT pairs: volume &gt;= 10M; up/down threshold +/-1.5%; active logarithmic range threshold 3.0%; quiet active breadth threshold 35%; median direction threshold +/-1.0%.</x:v>
      </x:c>
      <x:c r="M164" s="10" t="n">
        <x:v>819</x:v>
      </x:c>
      <x:c r="N164" s="3" t="str">
        <x:v>{"recorded_at": 1789188855, "environment": "production", "regime": "ACTIVE / MIXED", "expectation": "Movement is sufficient, but market direction is divided.", "sample_size": 47, "up_pct": 23.4, "down_pct": 29.8, "active_pct": 89.4, "median_change_pct": 0.11, "median_range_pct": 8.22, "formula": "Liquid non-stable USDT pairs: volume &gt;= 10M; up/down threshold +/-1.5%; active logarithmic range threshold 3.0%; quiet active breadth threshold 35%; median direction threshold +/-1.0%."}</x:v>
      </x:c>
    </x:row>
    <x:row r="165" ht="21" customHeight="1">
      <x:c r="A165" s="8" t="n">
        <x:v>46277.34006944444</x:v>
      </x:c>
      <x:c r="B165" s="10" t="n">
        <x:v>1789189782</x:v>
      </x:c>
      <x:c r="C165" s="3" t="str">
        <x:v>production</x:v>
      </x:c>
      <x:c r="D165" s="3" t="str">
        <x:v>ACTIVE / MIXED</x:v>
      </x:c>
      <x:c r="E165" s="3" t="str">
        <x:v>Movement is sufficient, but market direction is divided.</x:v>
      </x:c>
      <x:c r="F165" s="10" t="n">
        <x:v>47</x:v>
      </x:c>
      <x:c r="G165" s="9" t="n">
        <x:v>25.5</x:v>
      </x:c>
      <x:c r="H165" s="9" t="n">
        <x:v>27.7</x:v>
      </x:c>
      <x:c r="I165" s="9" t="n">
        <x:v>89.4</x:v>
      </x:c>
      <x:c r="J165" s="9" t="n">
        <x:v>0.3</x:v>
      </x:c>
      <x:c r="K165" s="9" t="n">
        <x:v>8.22</x:v>
      </x:c>
      <x:c r="L165" s="3" t="str">
        <x:v>Liquid non-stable USDT pairs: volume &gt;= 10M; up/down threshold +/-1.5%; active logarithmic range threshold 3.0%; quiet active breadth threshold 35%; median direction threshold +/-1.0%.</x:v>
      </x:c>
      <x:c r="M165" s="10" t="n">
        <x:v>820</x:v>
      </x:c>
      <x:c r="N165" s="3" t="str">
        <x:v>{"recorded_at": 1789189782, "environment": "production", "regime": "ACTIVE / MIXED", "expectation": "Movement is sufficient, but market direction is divided.", "sample_size": 47, "up_pct": 25.5, "down_pct": 27.7, "active_pct": 89.4, "median_change_pct": 0.3, "median_range_pct": 8.22, "formula": "Liquid non-stable USDT pairs: volume &gt;= 10M; up/down threshold +/-1.5%; active logarithmic range threshold 3.0%; quiet active breadth threshold 35%; median direction threshold +/-1.0%."}</x:v>
      </x:c>
    </x:row>
    <x:row r="166" ht="21" customHeight="1">
      <x:c r="A166" s="8" t="n">
        <x:v>46277.350810185184</x:v>
      </x:c>
      <x:c r="B166" s="10" t="n">
        <x:v>1789190710</x:v>
      </x:c>
      <x:c r="C166" s="3" t="str">
        <x:v>production</x:v>
      </x:c>
      <x:c r="D166" s="3" t="str">
        <x:v>ACTIVE / MIXED</x:v>
      </x:c>
      <x:c r="E166" s="3" t="str">
        <x:v>Movement is sufficient, but market direction is divided.</x:v>
      </x:c>
      <x:c r="F166" s="10" t="n">
        <x:v>47</x:v>
      </x:c>
      <x:c r="G166" s="9" t="n">
        <x:v>25.5</x:v>
      </x:c>
      <x:c r="H166" s="9" t="n">
        <x:v>25.5</x:v>
      </x:c>
      <x:c r="I166" s="9" t="n">
        <x:v>89.4</x:v>
      </x:c>
      <x:c r="J166" s="9" t="n">
        <x:v>0.23</x:v>
      </x:c>
      <x:c r="K166" s="9" t="n">
        <x:v>8.22</x:v>
      </x:c>
      <x:c r="L166" s="3" t="str">
        <x:v>Liquid non-stable USDT pairs: volume &gt;= 10M; up/down threshold +/-1.5%; active logarithmic range threshold 3.0%; quiet active breadth threshold 35%; median direction threshold +/-1.0%.</x:v>
      </x:c>
      <x:c r="M166" s="10" t="n">
        <x:v>821</x:v>
      </x:c>
      <x:c r="N166" s="3" t="str">
        <x:v>{"recorded_at": 1789190710, "environment": "production", "regime": "ACTIVE / MIXED", "expectation": "Movement is sufficient, but market direction is divided.", "sample_size": 47, "up_pct": 25.5, "down_pct": 25.5, "active_pct": 89.4, "median_change_pct": 0.23, "median_range_pct": 8.22, "formula": "Liquid non-stable USDT pairs: volume &gt;= 10M; up/down threshold +/-1.5%; active logarithmic range threshold 3.0%; quiet active breadth threshold 35%; median direction threshold +/-1.0%."}</x:v>
      </x:c>
    </x:row>
    <x:row r="167" ht="21" customHeight="1">
      <x:c r="A167" s="8" t="n">
        <x:v>46277.36158564815</x:v>
      </x:c>
      <x:c r="B167" s="10" t="n">
        <x:v>1789191641</x:v>
      </x:c>
      <x:c r="C167" s="3" t="str">
        <x:v>production</x:v>
      </x:c>
      <x:c r="D167" s="3" t="str">
        <x:v>ACTIVE / MIXED</x:v>
      </x:c>
      <x:c r="E167" s="3" t="str">
        <x:v>Movement is sufficient, but market direction is divided.</x:v>
      </x:c>
      <x:c r="F167" s="10" t="n">
        <x:v>48</x:v>
      </x:c>
      <x:c r="G167" s="9" t="n">
        <x:v>29.2</x:v>
      </x:c>
      <x:c r="H167" s="9" t="n">
        <x:v>25</x:v>
      </x:c>
      <x:c r="I167" s="9" t="n">
        <x:v>89.6</x:v>
      </x:c>
      <x:c r="J167" s="9" t="n">
        <x:v>0.27</x:v>
      </x:c>
      <x:c r="K167" s="9" t="n">
        <x:v>8.41</x:v>
      </x:c>
      <x:c r="L167" s="3" t="str">
        <x:v>Liquid non-stable USDT pairs: volume &gt;= 10M; up/down threshold +/-1.5%; active logarithmic range threshold 3.0%; quiet active breadth threshold 35%; median direction threshold +/-1.0%.</x:v>
      </x:c>
      <x:c r="M167" s="10" t="n">
        <x:v>822</x:v>
      </x:c>
      <x:c r="N167" s="3" t="str">
        <x:v>{"recorded_at": 1789191641, "environment": "production", "regime": "ACTIVE / MIXED", "expectation": "Movement is sufficient, but market direction is divided.", "sample_size": 48, "up_pct": 29.2, "down_pct": 25.0, "active_pct": 89.6, "median_change_pct": 0.27, "median_range_pct": 8.41, "formula": "Liquid non-stable USDT pairs: volume &gt;= 10M; up/down threshold +/-1.5%; active logarithmic range threshold 3.0%; quiet active breadth threshold 35%; median direction threshold +/-1.0%."}</x:v>
      </x:c>
    </x:row>
    <x:row r="168" ht="21" customHeight="1">
      <x:c r="A168" s="8" t="n">
        <x:v>46277.37211805556</x:v>
      </x:c>
      <x:c r="B168" s="10" t="n">
        <x:v>1789192551</x:v>
      </x:c>
      <x:c r="C168" s="3" t="str">
        <x:v>production</x:v>
      </x:c>
      <x:c r="D168" s="3" t="str">
        <x:v>ACTIVE / MIXED</x:v>
      </x:c>
      <x:c r="E168" s="3" t="str">
        <x:v>Movement is sufficient, but market direction is divided.</x:v>
      </x:c>
      <x:c r="F168" s="10" t="n">
        <x:v>48</x:v>
      </x:c>
      <x:c r="G168" s="9" t="n">
        <x:v>27.1</x:v>
      </x:c>
      <x:c r="H168" s="9" t="n">
        <x:v>25</x:v>
      </x:c>
      <x:c r="I168" s="9" t="n">
        <x:v>89.6</x:v>
      </x:c>
      <x:c r="J168" s="9" t="n">
        <x:v>0</x:v>
      </x:c>
      <x:c r="K168" s="9" t="n">
        <x:v>8.41</x:v>
      </x:c>
      <x:c r="L168" s="3" t="str">
        <x:v>Liquid non-stable USDT pairs: volume &gt;= 10M; up/down threshold +/-1.5%; active logarithmic range threshold 3.0%; quiet active breadth threshold 35%; median direction threshold +/-1.0%.</x:v>
      </x:c>
      <x:c r="M168" s="10" t="n">
        <x:v>823</x:v>
      </x:c>
      <x:c r="N168" s="3" t="str">
        <x:v>{"recorded_at": 1789192551, "environment": "production", "regime": "ACTIVE / MIXED", "expectation": "Movement is sufficient, but market direction is divided.", "sample_size": 48, "up_pct": 27.1, "down_pct": 25.0, "active_pct": 89.6, "median_change_pct": 0.0, "median_range_pct": 8.41, "formula": "Liquid non-stable USDT pairs: volume &gt;= 10M; up/down threshold +/-1.5%; active logarithmic range threshold 3.0%; quiet active breadth threshold 35%; median direction threshold +/-1.0%."}</x:v>
      </x:c>
    </x:row>
    <x:row r="169" ht="21" customHeight="1">
      <x:c r="A169" s="8" t="n">
        <x:v>46277.38269675926</x:v>
      </x:c>
      <x:c r="B169" s="10" t="n">
        <x:v>1789193465</x:v>
      </x:c>
      <x:c r="C169" s="3" t="str">
        <x:v>production</x:v>
      </x:c>
      <x:c r="D169" s="3" t="str">
        <x:v>ACTIVE / MIXED</x:v>
      </x:c>
      <x:c r="E169" s="3" t="str">
        <x:v>Movement is sufficient, but market direction is divided.</x:v>
      </x:c>
      <x:c r="F169" s="10" t="n">
        <x:v>49</x:v>
      </x:c>
      <x:c r="G169" s="9" t="n">
        <x:v>24.5</x:v>
      </x:c>
      <x:c r="H169" s="9" t="n">
        <x:v>26.5</x:v>
      </x:c>
      <x:c r="I169" s="9" t="n">
        <x:v>89.8</x:v>
      </x:c>
      <x:c r="J169" s="9" t="n">
        <x:v>-0.12</x:v>
      </x:c>
      <x:c r="K169" s="9" t="n">
        <x:v>8.22</x:v>
      </x:c>
      <x:c r="L169" s="3" t="str">
        <x:v>Liquid non-stable USDT pairs: volume &gt;= 10M; up/down threshold +/-1.5%; active logarithmic range threshold 3.0%; quiet active breadth threshold 35%; median direction threshold +/-1.0%.</x:v>
      </x:c>
      <x:c r="M169" s="10" t="n">
        <x:v>824</x:v>
      </x:c>
      <x:c r="N169" s="3" t="str">
        <x:v>{"recorded_at": 1789193465, "environment": "production", "regime": "ACTIVE / MIXED", "expectation": "Movement is sufficient, but market direction is divided.", "sample_size": 49, "up_pct": 24.5, "down_pct": 26.5, "active_pct": 89.8, "median_change_pct": -0.12, "median_range_pct": 8.22, "formula": "Liquid non-stable USDT pairs: volume &gt;= 10M; up/down threshold +/-1.5%; active logarithmic range threshold 3.0%; quiet active breadth threshold 35%; median direction threshold +/-1.0%."}</x:v>
      </x:c>
    </x:row>
    <x:row r="170" ht="21" customHeight="1">
      <x:c r="A170" s="8" t="n">
        <x:v>46277.393159722225</x:v>
      </x:c>
      <x:c r="B170" s="10" t="n">
        <x:v>1789194369</x:v>
      </x:c>
      <x:c r="C170" s="3" t="str">
        <x:v>production</x:v>
      </x:c>
      <x:c r="D170" s="3" t="str">
        <x:v>ACTIVE / MIXED</x:v>
      </x:c>
      <x:c r="E170" s="3" t="str">
        <x:v>Movement is sufficient, but market direction is divided.</x:v>
      </x:c>
      <x:c r="F170" s="10" t="n">
        <x:v>49</x:v>
      </x:c>
      <x:c r="G170" s="9" t="n">
        <x:v>26.5</x:v>
      </x:c>
      <x:c r="H170" s="9" t="n">
        <x:v>24.5</x:v>
      </x:c>
      <x:c r="I170" s="9" t="n">
        <x:v>89.8</x:v>
      </x:c>
      <x:c r="J170" s="9" t="n">
        <x:v>0</x:v>
      </x:c>
      <x:c r="K170" s="9" t="n">
        <x:v>8.22</x:v>
      </x:c>
      <x:c r="L170" s="3" t="str">
        <x:v>Liquid non-stable USDT pairs: volume &gt;= 10M; up/down threshold +/-1.5%; active logarithmic range threshold 3.0%; quiet active breadth threshold 35%; median direction threshold +/-1.0%.</x:v>
      </x:c>
      <x:c r="M170" s="10" t="n">
        <x:v>825</x:v>
      </x:c>
      <x:c r="N170" s="3" t="str">
        <x:v>{"recorded_at": 1789194369, "environment": "production", "regime": "ACTIVE / MIXED", "expectation": "Movement is sufficient, but market direction is divided.", "sample_size": 49, "up_pct": 26.5, "down_pct": 24.5, "active_pct": 89.8, "median_change_pct": 0.0, "median_range_pct": 8.22, "formula": "Liquid non-stable USDT pairs: volume &gt;= 10M; up/down threshold +/-1.5%; active logarithmic range threshold 3.0%; quiet active breadth threshold 35%; median direction threshold +/-1.0%."}</x:v>
      </x:c>
    </x:row>
    <x:row r="171" ht="21" customHeight="1">
      <x:c r="A171" s="8" t="n">
        <x:v>46277.40383101852</x:v>
      </x:c>
      <x:c r="B171" s="10" t="n">
        <x:v>1789195291</x:v>
      </x:c>
      <x:c r="C171" s="3" t="str">
        <x:v>production</x:v>
      </x:c>
      <x:c r="D171" s="3" t="str">
        <x:v>ACTIVE / MIXED</x:v>
      </x:c>
      <x:c r="E171" s="3" t="str">
        <x:v>Movement is sufficient, but market direction is divided.</x:v>
      </x:c>
      <x:c r="F171" s="10" t="n">
        <x:v>49</x:v>
      </x:c>
      <x:c r="G171" s="9" t="n">
        <x:v>26.5</x:v>
      </x:c>
      <x:c r="H171" s="9" t="n">
        <x:v>24.5</x:v>
      </x:c>
      <x:c r="I171" s="9" t="n">
        <x:v>89.8</x:v>
      </x:c>
      <x:c r="J171" s="9" t="n">
        <x:v>0.07</x:v>
      </x:c>
      <x:c r="K171" s="9" t="n">
        <x:v>8.22</x:v>
      </x:c>
      <x:c r="L171" s="3" t="str">
        <x:v>Liquid non-stable USDT pairs: volume &gt;= 10M; up/down threshold +/-1.5%; active logarithmic range threshold 3.0%; quiet active breadth threshold 35%; median direction threshold +/-1.0%.</x:v>
      </x:c>
      <x:c r="M171" s="10" t="n">
        <x:v>826</x:v>
      </x:c>
      <x:c r="N171" s="3" t="str">
        <x:v>{"recorded_at": 1789195291, "environment": "production", "regime": "ACTIVE / MIXED", "expectation": "Movement is sufficient, but market direction is divided.", "sample_size": 49, "up_pct": 26.5, "down_pct": 24.5, "active_pct": 89.8, "median_change_pct": 0.07, "median_range_pct": 8.22, "formula": "Liquid non-stable USDT pairs: volume &gt;= 10M; up/down threshold +/-1.5%; active logarithmic range threshold 3.0%; quiet active breadth threshold 35%; median direction threshold +/-1.0%."}</x:v>
      </x:c>
    </x:row>
    <x:row r="172" ht="21" customHeight="1">
      <x:c r="A172" s="8" t="n">
        <x:v>46277.41427083333</x:v>
      </x:c>
      <x:c r="B172" s="10" t="n">
        <x:v>1789196193</x:v>
      </x:c>
      <x:c r="C172" s="3" t="str">
        <x:v>production</x:v>
      </x:c>
      <x:c r="D172" s="3" t="str">
        <x:v>ACTIVE / MIXED</x:v>
      </x:c>
      <x:c r="E172" s="3" t="str">
        <x:v>Movement is sufficient, but market direction is divided.</x:v>
      </x:c>
      <x:c r="F172" s="10" t="n">
        <x:v>49</x:v>
      </x:c>
      <x:c r="G172" s="9" t="n">
        <x:v>28.6</x:v>
      </x:c>
      <x:c r="H172" s="9" t="n">
        <x:v>22.4</x:v>
      </x:c>
      <x:c r="I172" s="9" t="n">
        <x:v>89.8</x:v>
      </x:c>
      <x:c r="J172" s="9" t="n">
        <x:v>0</x:v>
      </x:c>
      <x:c r="K172" s="9" t="n">
        <x:v>8.22</x:v>
      </x:c>
      <x:c r="L172" s="3" t="str">
        <x:v>Liquid non-stable USDT pairs: volume &gt;= 10M; up/down threshold +/-1.5%; active logarithmic range threshold 3.0%; quiet active breadth threshold 35%; median direction threshold +/-1.0%.</x:v>
      </x:c>
      <x:c r="M172" s="10" t="n">
        <x:v>827</x:v>
      </x:c>
      <x:c r="N172" s="3" t="str">
        <x:v>{"recorded_at": 1789196193, "environment": "production", "regime": "ACTIVE / MIXED", "expectation": "Movement is sufficient, but market direction is divided.", "sample_size": 49, "up_pct": 28.6, "down_pct": 22.4, "active_pct": 89.8, "median_change_pct": 0.0, "median_range_pct": 8.22, "formula": "Liquid non-stable USDT pairs: volume &gt;= 10M; up/down threshold +/-1.5%; active logarithmic range threshold 3.0%; quiet active breadth threshold 35%; median direction threshold +/-1.0%."}</x:v>
      </x:c>
    </x:row>
    <x:row r="173" ht="21" customHeight="1">
      <x:c r="A173" s="8" t="n">
        <x:v>46277.424791666665</x:v>
      </x:c>
      <x:c r="B173" s="10" t="n">
        <x:v>1789197102</x:v>
      </x:c>
      <x:c r="C173" s="3" t="str">
        <x:v>production</x:v>
      </x:c>
      <x:c r="D173" s="3" t="str">
        <x:v>ACTIVE / MIXED</x:v>
      </x:c>
      <x:c r="E173" s="3" t="str">
        <x:v>Movement is sufficient, but market direction is divided.</x:v>
      </x:c>
      <x:c r="F173" s="10" t="n">
        <x:v>49</x:v>
      </x:c>
      <x:c r="G173" s="9" t="n">
        <x:v>28.6</x:v>
      </x:c>
      <x:c r="H173" s="9" t="n">
        <x:v>20.4</x:v>
      </x:c>
      <x:c r="I173" s="9" t="n">
        <x:v>89.8</x:v>
      </x:c>
      <x:c r="J173" s="9" t="n">
        <x:v>-0.01</x:v>
      </x:c>
      <x:c r="K173" s="9" t="n">
        <x:v>8.22</x:v>
      </x:c>
      <x:c r="L173" s="3" t="str">
        <x:v>Liquid non-stable USDT pairs: volume &gt;= 10M; up/down threshold +/-1.5%; active logarithmic range threshold 3.0%; quiet active breadth threshold 35%; median direction threshold +/-1.0%.</x:v>
      </x:c>
      <x:c r="M173" s="10" t="n">
        <x:v>828</x:v>
      </x:c>
      <x:c r="N173" s="3" t="str">
        <x:v>{"recorded_at": 1789197102, "environment": "production", "regime": "ACTIVE / MIXED", "expectation": "Movement is sufficient, but market direction is divided.", "sample_size": 49, "up_pct": 28.6, "down_pct": 20.4, "active_pct": 89.8, "median_change_pct": -0.01, "median_range_pct": 8.22, "formula": "Liquid non-stable USDT pairs: volume &gt;= 10M; up/down threshold +/-1.5%; active logarithmic range threshold 3.0%; quiet active breadth threshold 35%; median direction threshold +/-1.0%."}</x:v>
      </x:c>
    </x:row>
    <x:row r="174" ht="21" customHeight="1">
      <x:c r="A174" s="8" t="n">
        <x:v>46277.43539351852</x:v>
      </x:c>
      <x:c r="B174" s="10" t="n">
        <x:v>1789198018</x:v>
      </x:c>
      <x:c r="C174" s="3" t="str">
        <x:v>production</x:v>
      </x:c>
      <x:c r="D174" s="3" t="str">
        <x:v>ACTIVE / MIXED</x:v>
      </x:c>
      <x:c r="E174" s="3" t="str">
        <x:v>Movement is sufficient, but market direction is divided.</x:v>
      </x:c>
      <x:c r="F174" s="10" t="n">
        <x:v>49</x:v>
      </x:c>
      <x:c r="G174" s="9" t="n">
        <x:v>28.6</x:v>
      </x:c>
      <x:c r="H174" s="9" t="n">
        <x:v>22.4</x:v>
      </x:c>
      <x:c r="I174" s="9" t="n">
        <x:v>89.8</x:v>
      </x:c>
      <x:c r="J174" s="9" t="n">
        <x:v>0.23</x:v>
      </x:c>
      <x:c r="K174" s="9" t="n">
        <x:v>8.22</x:v>
      </x:c>
      <x:c r="L174" s="3" t="str">
        <x:v>Liquid non-stable USDT pairs: volume &gt;= 10M; up/down threshold +/-1.5%; active logarithmic range threshold 3.0%; quiet active breadth threshold 35%; median direction threshold +/-1.0%.</x:v>
      </x:c>
      <x:c r="M174" s="10" t="n">
        <x:v>829</x:v>
      </x:c>
      <x:c r="N174" s="3" t="str">
        <x:v>{"recorded_at": 1789198018, "environment": "production", "regime": "ACTIVE / MIXED", "expectation": "Movement is sufficient, but market direction is divided.", "sample_size": 49, "up_pct": 28.6, "down_pct": 22.4, "active_pct": 89.8, "median_change_pct": 0.23, "median_range_pct": 8.22, "formula": "Liquid non-stable USDT pairs: volume &gt;= 10M; up/down threshold +/-1.5%; active logarithmic range threshold 3.0%; quiet active breadth threshold 35%; median direction threshold +/-1.0%."}</x:v>
      </x:c>
    </x:row>
    <x:row r="175" ht="21" customHeight="1">
      <x:c r="A175" s="8" t="n">
        <x:v>46277.4458912037</x:v>
      </x:c>
      <x:c r="B175" s="10" t="n">
        <x:v>1789198925</x:v>
      </x:c>
      <x:c r="C175" s="3" t="str">
        <x:v>production</x:v>
      </x:c>
      <x:c r="D175" s="3" t="str">
        <x:v>ACTIVE / MIXED</x:v>
      </x:c>
      <x:c r="E175" s="3" t="str">
        <x:v>Movement is sufficient, but market direction is divided.</x:v>
      </x:c>
      <x:c r="F175" s="10" t="n">
        <x:v>49</x:v>
      </x:c>
      <x:c r="G175" s="9" t="n">
        <x:v>30.6</x:v>
      </x:c>
      <x:c r="H175" s="9" t="n">
        <x:v>24.5</x:v>
      </x:c>
      <x:c r="I175" s="9" t="n">
        <x:v>89.8</x:v>
      </x:c>
      <x:c r="J175" s="9" t="n">
        <x:v>0.46</x:v>
      </x:c>
      <x:c r="K175" s="9" t="n">
        <x:v>8.22</x:v>
      </x:c>
      <x:c r="L175" s="3" t="str">
        <x:v>Liquid non-stable USDT pairs: volume &gt;= 10M; up/down threshold +/-1.5%; active logarithmic range threshold 3.0%; quiet active breadth threshold 35%; median direction threshold +/-1.0%.</x:v>
      </x:c>
      <x:c r="M175" s="10" t="n">
        <x:v>830</x:v>
      </x:c>
      <x:c r="N175" s="3" t="str">
        <x:v>{"recorded_at": 1789198925, "environment": "production", "regime": "ACTIVE / MIXED", "expectation": "Movement is sufficient, but market direction is divided.", "sample_size": 49, "up_pct": 30.6, "down_pct": 24.5, "active_pct": 89.8, "median_change_pct": 0.46, "median_range_pct": 8.22, "formula": "Liquid non-stable USDT pairs: volume &gt;= 10M; up/down threshold +/-1.5%; active logarithmic range threshold 3.0%; quiet active breadth threshold 35%; median direction threshold +/-1.0%."}</x:v>
      </x:c>
    </x:row>
    <x:row r="176" ht="21" customHeight="1">
      <x:c r="A176" s="8" t="n">
        <x:v>46277.45658564815</x:v>
      </x:c>
      <x:c r="B176" s="10" t="n">
        <x:v>1789199849</x:v>
      </x:c>
      <x:c r="C176" s="3" t="str">
        <x:v>production</x:v>
      </x:c>
      <x:c r="D176" s="3" t="str">
        <x:v>ACTIVE / MIXED</x:v>
      </x:c>
      <x:c r="E176" s="3" t="str">
        <x:v>Movement is sufficient, but market direction is divided.</x:v>
      </x:c>
      <x:c r="F176" s="10" t="n">
        <x:v>48</x:v>
      </x:c>
      <x:c r="G176" s="9" t="n">
        <x:v>39.6</x:v>
      </x:c>
      <x:c r="H176" s="9" t="n">
        <x:v>18.8</x:v>
      </x:c>
      <x:c r="I176" s="9" t="n">
        <x:v>89.6</x:v>
      </x:c>
      <x:c r="J176" s="9" t="n">
        <x:v>0.56</x:v>
      </x:c>
      <x:c r="K176" s="9" t="n">
        <x:v>8.41</x:v>
      </x:c>
      <x:c r="L176" s="3" t="str">
        <x:v>Liquid non-stable USDT pairs: volume &gt;= 10M; up/down threshold +/-1.5%; active logarithmic range threshold 3.0%; quiet active breadth threshold 35%; median direction threshold +/-1.0%.</x:v>
      </x:c>
      <x:c r="M176" s="10" t="n">
        <x:v>831</x:v>
      </x:c>
      <x:c r="N176" s="3" t="str">
        <x:v>{"recorded_at": 1789199849, "environment": "production", "regime": "ACTIVE / MIXED", "expectation": "Movement is sufficient, but market direction is divided.", "sample_size": 48, "up_pct": 39.6, "down_pct": 18.8, "active_pct": 89.6, "median_change_pct": 0.56, "median_range_pct": 8.41, "formula": "Liquid non-stable USDT pairs: volume &gt;= 10M; up/down threshold +/-1.5%; active logarithmic range threshold 3.0%; quiet active breadth threshold 35%; median direction threshold +/-1.0%."}</x:v>
      </x:c>
    </x:row>
    <x:row r="177" ht="21" customHeight="1">
      <x:c r="A177" s="8" t="n">
        <x:v>46277.46734953704</x:v>
      </x:c>
      <x:c r="B177" s="10" t="n">
        <x:v>1789200779</x:v>
      </x:c>
      <x:c r="C177" s="3" t="str">
        <x:v>production</x:v>
      </x:c>
      <x:c r="D177" s="3" t="str">
        <x:v>ACTIVE / MIXED</x:v>
      </x:c>
      <x:c r="E177" s="3" t="str">
        <x:v>Movement is sufficient, but market direction is divided.</x:v>
      </x:c>
      <x:c r="F177" s="10" t="n">
        <x:v>48</x:v>
      </x:c>
      <x:c r="G177" s="9" t="n">
        <x:v>39.6</x:v>
      </x:c>
      <x:c r="H177" s="9" t="n">
        <x:v>16.7</x:v>
      </x:c>
      <x:c r="I177" s="9" t="n">
        <x:v>89.6</x:v>
      </x:c>
      <x:c r="J177" s="9" t="n">
        <x:v>0.88</x:v>
      </x:c>
      <x:c r="K177" s="9" t="n">
        <x:v>8.41</x:v>
      </x:c>
      <x:c r="L177" s="3" t="str">
        <x:v>Liquid non-stable USDT pairs: volume &gt;= 10M; up/down threshold +/-1.5%; active logarithmic range threshold 3.0%; quiet active breadth threshold 35%; median direction threshold +/-1.0%.</x:v>
      </x:c>
      <x:c r="M177" s="10" t="n">
        <x:v>832</x:v>
      </x:c>
      <x:c r="N177" s="3" t="str">
        <x:v>{"recorded_at": 1789200779, "environment": "production", "regime": "ACTIVE / MIXED", "expectation": "Movement is sufficient, but market direction is divided.", "sample_size": 48, "up_pct": 39.6, "down_pct": 16.7, "active_pct": 89.6, "median_change_pct": 0.88, "median_range_pct": 8.41, "formula": "Liquid non-stable USDT pairs: volume &gt;= 10M; up/down threshold +/-1.5%; active logarithmic range threshold 3.0%; quiet active breadth threshold 35%; median direction threshold +/-1.0%."}</x:v>
      </x:c>
    </x:row>
    <x:row r="178" ht="21" customHeight="1">
      <x:c r="A178" s="8" t="n">
        <x:v>46277.477847222224</x:v>
      </x:c>
      <x:c r="B178" s="10" t="n">
        <x:v>1789201686</x:v>
      </x:c>
      <x:c r="C178" s="3" t="str">
        <x:v>production</x:v>
      </x:c>
      <x:c r="D178" s="3" t="str">
        <x:v>ACTIVE / MIXED</x:v>
      </x:c>
      <x:c r="E178" s="3" t="str">
        <x:v>Movement is sufficient, but market direction is divided.</x:v>
      </x:c>
      <x:c r="F178" s="10" t="n">
        <x:v>48</x:v>
      </x:c>
      <x:c r="G178" s="9" t="n">
        <x:v>37.5</x:v>
      </x:c>
      <x:c r="H178" s="9" t="n">
        <x:v>18.8</x:v>
      </x:c>
      <x:c r="I178" s="9" t="n">
        <x:v>89.6</x:v>
      </x:c>
      <x:c r="J178" s="9" t="n">
        <x:v>0.47</x:v>
      </x:c>
      <x:c r="K178" s="9" t="n">
        <x:v>8.41</x:v>
      </x:c>
      <x:c r="L178" s="3" t="str">
        <x:v>Liquid non-stable USDT pairs: volume &gt;= 10M; up/down threshold +/-1.5%; active logarithmic range threshold 3.0%; quiet active breadth threshold 35%; median direction threshold +/-1.0%.</x:v>
      </x:c>
      <x:c r="M178" s="10" t="n">
        <x:v>833</x:v>
      </x:c>
      <x:c r="N178" s="3" t="str">
        <x:v>{"recorded_at": 1789201686, "environment": "production", "regime": "ACTIVE / MIXED", "expectation": "Movement is sufficient, but market direction is divided.", "sample_size": 48, "up_pct": 37.5, "down_pct": 18.8, "active_pct": 89.6, "median_change_pct": 0.47, "median_range_pct": 8.41, "formula": "Liquid non-stable USDT pairs: volume &gt;= 10M; up/down threshold +/-1.5%; active logarithmic range threshold 3.0%; quiet active breadth threshold 35%; median direction threshold +/-1.0%."}</x:v>
      </x:c>
    </x:row>
    <x:row r="179" ht="21" customHeight="1">
      <x:c r="A179" s="8" t="n">
        <x:v>46277.48831018519</x:v>
      </x:c>
      <x:c r="B179" s="10" t="n">
        <x:v>1789202590</x:v>
      </x:c>
      <x:c r="C179" s="3" t="str">
        <x:v>production</x:v>
      </x:c>
      <x:c r="D179" s="3" t="str">
        <x:v>ACTIVE / MIXED</x:v>
      </x:c>
      <x:c r="E179" s="3" t="str">
        <x:v>Movement is sufficient, but market direction is divided.</x:v>
      </x:c>
      <x:c r="F179" s="10" t="n">
        <x:v>47</x:v>
      </x:c>
      <x:c r="G179" s="9" t="n">
        <x:v>36.2</x:v>
      </x:c>
      <x:c r="H179" s="9" t="n">
        <x:v>19.1</x:v>
      </x:c>
      <x:c r="I179" s="9" t="n">
        <x:v>89.4</x:v>
      </x:c>
      <x:c r="J179" s="9" t="n">
        <x:v>0.29</x:v>
      </x:c>
      <x:c r="K179" s="9" t="n">
        <x:v>8.6</x:v>
      </x:c>
      <x:c r="L179" s="3" t="str">
        <x:v>Liquid non-stable USDT pairs: volume &gt;= 10M; up/down threshold +/-1.5%; active logarithmic range threshold 3.0%; quiet active breadth threshold 35%; median direction threshold +/-1.0%.</x:v>
      </x:c>
      <x:c r="M179" s="10" t="n">
        <x:v>834</x:v>
      </x:c>
      <x:c r="N179" s="3" t="str">
        <x:v>{"recorded_at": 1789202590, "environment": "production", "regime": "ACTIVE / MIXED", "expectation": "Movement is sufficient, but market direction is divided.", "sample_size": 47, "up_pct": 36.2, "down_pct": 19.1, "active_pct": 89.4, "median_change_pct": 0.29, "median_range_pct": 8.6, "formula": "Liquid non-stable USDT pairs: volume &gt;= 10M; up/down threshold +/-1.5%; active logarithmic range threshold 3.0%; quiet active breadth threshold 35%; median direction threshold +/-1.0%."}</x:v>
      </x:c>
    </x:row>
    <x:row r="180" ht="21" customHeight="1">
      <x:c r="A180" s="8" t="n">
        <x:v>46277.49894675926</x:v>
      </x:c>
      <x:c r="B180" s="10" t="n">
        <x:v>1789203509</x:v>
      </x:c>
      <x:c r="C180" s="3" t="str">
        <x:v>production</x:v>
      </x:c>
      <x:c r="D180" s="3" t="str">
        <x:v>ACTIVE / MIXED</x:v>
      </x:c>
      <x:c r="E180" s="3" t="str">
        <x:v>Movement is sufficient, but market direction is divided.</x:v>
      </x:c>
      <x:c r="F180" s="10" t="n">
        <x:v>48</x:v>
      </x:c>
      <x:c r="G180" s="9" t="n">
        <x:v>35.4</x:v>
      </x:c>
      <x:c r="H180" s="9" t="n">
        <x:v>18.8</x:v>
      </x:c>
      <x:c r="I180" s="9" t="n">
        <x:v>89.6</x:v>
      </x:c>
      <x:c r="J180" s="9" t="n">
        <x:v>0.24</x:v>
      </x:c>
      <x:c r="K180" s="9" t="n">
        <x:v>8.62</x:v>
      </x:c>
      <x:c r="L180" s="3" t="str">
        <x:v>Liquid non-stable USDT pairs: volume &gt;= 10M; up/down threshold +/-1.5%; active logarithmic range threshold 3.0%; quiet active breadth threshold 35%; median direction threshold +/-1.0%.</x:v>
      </x:c>
      <x:c r="M180" s="10" t="n">
        <x:v>835</x:v>
      </x:c>
      <x:c r="N180" s="3" t="str">
        <x:v>{"recorded_at": 1789203509, "environment": "production", "regime": "ACTIVE / MIXED", "expectation": "Movement is sufficient, but market direction is divided.", "sample_size": 48, "up_pct": 35.4, "down_pct": 18.8, "active_pct": 89.6, "median_change_pct": 0.24, "median_range_pct": 8.62, "formula": "Liquid non-stable USDT pairs: volume &gt;= 10M; up/down threshold +/-1.5%; active logarithmic range threshold 3.0%; quiet active breadth threshold 35%; median direction threshold +/-1.0%."}</x:v>
      </x:c>
    </x:row>
    <x:row r="181" ht="21" customHeight="1">
      <x:c r="A181" s="8" t="n">
        <x:v>46277.50965277778</x:v>
      </x:c>
      <x:c r="B181" s="10" t="n">
        <x:v>1789204434</x:v>
      </x:c>
      <x:c r="C181" s="3" t="str">
        <x:v>production</x:v>
      </x:c>
      <x:c r="D181" s="3" t="str">
        <x:v>ACTIVE / MIXED</x:v>
      </x:c>
      <x:c r="E181" s="3" t="str">
        <x:v>Movement is sufficient, but market direction is divided.</x:v>
      </x:c>
      <x:c r="F181" s="10" t="n">
        <x:v>48</x:v>
      </x:c>
      <x:c r="G181" s="9" t="n">
        <x:v>37.5</x:v>
      </x:c>
      <x:c r="H181" s="9" t="n">
        <x:v>20.8</x:v>
      </x:c>
      <x:c r="I181" s="9" t="n">
        <x:v>89.6</x:v>
      </x:c>
      <x:c r="J181" s="9" t="n">
        <x:v>0.51</x:v>
      </x:c>
      <x:c r="K181" s="9" t="n">
        <x:v>8.58</x:v>
      </x:c>
      <x:c r="L181" s="3" t="str">
        <x:v>Liquid non-stable USDT pairs: volume &gt;= 10M; up/down threshold +/-1.5%; active logarithmic range threshold 3.0%; quiet active breadth threshold 35%; median direction threshold +/-1.0%.</x:v>
      </x:c>
      <x:c r="M181" s="10" t="n">
        <x:v>836</x:v>
      </x:c>
      <x:c r="N181" s="3" t="str">
        <x:v>{"recorded_at": 1789204434, "environment": "production", "regime": "ACTIVE / MIXED", "expectation": "Movement is sufficient, but market direction is divided.", "sample_size": 48, "up_pct": 37.5, "down_pct": 20.8, "active_pct": 89.6, "median_change_pct": 0.51, "median_range_pct": 8.58, "formula": "Liquid non-stable USDT pairs: volume &gt;= 10M; up/down threshold +/-1.5%; active logarithmic range threshold 3.0%; quiet active breadth threshold 35%; median direction threshold +/-1.0%."}</x:v>
      </x:c>
    </x:row>
    <x:row r="182" ht="21" customHeight="1">
      <x:c r="A182" s="8" t="n">
        <x:v>46277.52027777778</x:v>
      </x:c>
      <x:c r="B182" s="10" t="n">
        <x:v>1789205352</x:v>
      </x:c>
      <x:c r="C182" s="3" t="str">
        <x:v>production</x:v>
      </x:c>
      <x:c r="D182" s="3" t="str">
        <x:v>ACTIVE / MIXED</x:v>
      </x:c>
      <x:c r="E182" s="3" t="str">
        <x:v>Movement is sufficient, but market direction is divided.</x:v>
      </x:c>
      <x:c r="F182" s="10" t="n">
        <x:v>48</x:v>
      </x:c>
      <x:c r="G182" s="9" t="n">
        <x:v>39.6</x:v>
      </x:c>
      <x:c r="H182" s="9" t="n">
        <x:v>20.8</x:v>
      </x:c>
      <x:c r="I182" s="9" t="n">
        <x:v>89.6</x:v>
      </x:c>
      <x:c r="J182" s="9" t="n">
        <x:v>0.47</x:v>
      </x:c>
      <x:c r="K182" s="9" t="n">
        <x:v>8.41</x:v>
      </x:c>
      <x:c r="L182" s="3" t="str">
        <x:v>Liquid non-stable USDT pairs: volume &gt;= 10M; up/down threshold +/-1.5%; active logarithmic range threshold 3.0%; quiet active breadth threshold 35%; median direction threshold +/-1.0%.</x:v>
      </x:c>
      <x:c r="M182" s="10" t="n">
        <x:v>837</x:v>
      </x:c>
      <x:c r="N182" s="3" t="str">
        <x:v>{"recorded_at": 1789205352, "environment": "production", "regime": "ACTIVE / MIXED", "expectation": "Movement is sufficient, but market direction is divided.", "sample_size": 48, "up_pct": 39.6, "down_pct": 20.8, "active_pct": 89.6, "median_change_pct": 0.47, "median_range_pct": 8.41, "formula": "Liquid non-stable USDT pairs: volume &gt;= 10M; up/down threshold +/-1.5%; active logarithmic range threshold 3.0%; quiet active breadth threshold 35%; median direction threshold +/-1.0%."}</x:v>
      </x:c>
    </x:row>
    <x:row r="183" ht="21" customHeight="1">
      <x:c r="A183" s="8" t="n">
        <x:v>46277.53087962963</x:v>
      </x:c>
      <x:c r="B183" s="10" t="n">
        <x:v>1789206268</x:v>
      </x:c>
      <x:c r="C183" s="3" t="str">
        <x:v>production</x:v>
      </x:c>
      <x:c r="D183" s="3" t="str">
        <x:v>ACTIVE / POSITIVE</x:v>
      </x:c>
      <x:c r="E183" s="3" t="str">
        <x:v>Broad momentum is positive; still require entry confirmation.</x:v>
      </x:c>
      <x:c r="F183" s="10" t="n">
        <x:v>47</x:v>
      </x:c>
      <x:c r="G183" s="9" t="n">
        <x:v>44.7</x:v>
      </x:c>
      <x:c r="H183" s="9" t="n">
        <x:v>19.1</x:v>
      </x:c>
      <x:c r="I183" s="9" t="n">
        <x:v>89.4</x:v>
      </x:c>
      <x:c r="J183" s="9" t="n">
        <x:v>1.07</x:v>
      </x:c>
      <x:c r="K183" s="9" t="n">
        <x:v>8.22</x:v>
      </x:c>
      <x:c r="L183" s="3" t="str">
        <x:v>Liquid non-stable USDT pairs: volume &gt;= 10M; up/down threshold +/-1.5%; active logarithmic range threshold 3.0%; quiet active breadth threshold 35%; median direction threshold +/-1.0%.</x:v>
      </x:c>
      <x:c r="M183" s="10" t="n">
        <x:v>838</x:v>
      </x:c>
      <x:c r="N183" s="3" t="str">
        <x:v>{"recorded_at": 1789206268, "environment": "production", "regime": "ACTIVE / POSITIVE", "expectation": "Broad momentum is positive; still require entry confirmation.", "sample_size": 47, "up_pct": 44.7, "down_pct": 19.1, "active_pct": 89.4, "median_change_pct": 1.07, "median_range_pct": 8.22, "formula": "Liquid non-stable USDT pairs: volume &gt;= 10M; up/down threshold +/-1.5%; active logarithmic range threshold 3.0%; quiet active breadth threshold 35%; median direction threshold +/-1.0%."}</x:v>
      </x:c>
    </x:row>
    <x:row r="184" ht="21" customHeight="1">
      <x:c r="A184" s="8" t="n">
        <x:v>46277.541597222225</x:v>
      </x:c>
      <x:c r="B184" s="10" t="n">
        <x:v>1789207194</x:v>
      </x:c>
      <x:c r="C184" s="3" t="str">
        <x:v>production</x:v>
      </x:c>
      <x:c r="D184" s="3" t="str">
        <x:v>ACTIVE / MIXED</x:v>
      </x:c>
      <x:c r="E184" s="3" t="str">
        <x:v>Movement is sufficient, but market direction is divided.</x:v>
      </x:c>
      <x:c r="F184" s="10" t="n">
        <x:v>47</x:v>
      </x:c>
      <x:c r="G184" s="9" t="n">
        <x:v>42.6</x:v>
      </x:c>
      <x:c r="H184" s="9" t="n">
        <x:v>21.3</x:v>
      </x:c>
      <x:c r="I184" s="9" t="n">
        <x:v>89.4</x:v>
      </x:c>
      <x:c r="J184" s="9" t="n">
        <x:v>0.76</x:v>
      </x:c>
      <x:c r="K184" s="9" t="n">
        <x:v>8.22</x:v>
      </x:c>
      <x:c r="L184" s="3" t="str">
        <x:v>Liquid non-stable USDT pairs: volume &gt;= 10M; up/down threshold +/-1.5%; active logarithmic range threshold 3.0%; quiet active breadth threshold 35%; median direction threshold +/-1.0%.</x:v>
      </x:c>
      <x:c r="M184" s="10" t="n">
        <x:v>839</x:v>
      </x:c>
      <x:c r="N184" s="3" t="str">
        <x:v>{"recorded_at": 1789207194, "environment": "production", "regime": "ACTIVE / MIXED", "expectation": "Movement is sufficient, but market direction is divided.", "sample_size": 47, "up_pct": 42.6, "down_pct": 21.3, "active_pct": 89.4, "median_change_pct": 0.76, "median_range_pct": 8.22, "formula": "Liquid non-stable USDT pairs: volume &gt;= 10M; up/down threshold +/-1.5%; active logarithmic range threshold 3.0%; quiet active breadth threshold 35%; median direction threshold +/-1.0%."}</x:v>
      </x:c>
    </x:row>
    <x:row r="185" ht="21" customHeight="1">
      <x:c r="A185" s="8" t="n">
        <x:v>46277.552349537036</x:v>
      </x:c>
      <x:c r="B185" s="10" t="n">
        <x:v>1789208123</x:v>
      </x:c>
      <x:c r="C185" s="3" t="str">
        <x:v>production</x:v>
      </x:c>
      <x:c r="D185" s="3" t="str">
        <x:v>ACTIVE / POSITIVE</x:v>
      </x:c>
      <x:c r="E185" s="3" t="str">
        <x:v>Broad momentum is positive; still require entry confirmation.</x:v>
      </x:c>
      <x:c r="F185" s="10" t="n">
        <x:v>46</x:v>
      </x:c>
      <x:c r="G185" s="9" t="n">
        <x:v>47.8</x:v>
      </x:c>
      <x:c r="H185" s="9" t="n">
        <x:v>15.2</x:v>
      </x:c>
      <x:c r="I185" s="9" t="n">
        <x:v>89.1</x:v>
      </x:c>
      <x:c r="J185" s="9" t="n">
        <x:v>1.03</x:v>
      </x:c>
      <x:c r="K185" s="9" t="n">
        <x:v>8.15</x:v>
      </x:c>
      <x:c r="L185" s="3" t="str">
        <x:v>Liquid non-stable USDT pairs: volume &gt;= 10M; up/down threshold +/-1.5%; active logarithmic range threshold 3.0%; quiet active breadth threshold 35%; median direction threshold +/-1.0%.</x:v>
      </x:c>
      <x:c r="M185" s="10" t="n">
        <x:v>840</x:v>
      </x:c>
      <x:c r="N185" s="3" t="str">
        <x:v>{"recorded_at": 1789208123, "environment": "production", "regime": "ACTIVE / POSITIVE", "expectation": "Broad momentum is positive; still require entry confirmation.", "sample_size": 46, "up_pct": 47.8, "down_pct": 15.2, "active_pct": 89.1, "median_change_pct": 1.03, "median_range_pct": 8.15, "formula": "Liquid non-stable USDT pairs: volume &gt;= 10M; up/down threshold +/-1.5%; active logarithmic range threshold 3.0%; quiet active breadth threshold 35%; median direction threshold +/-1.0%."}</x:v>
      </x:c>
    </x:row>
    <x:row r="186" ht="21" customHeight="1">
      <x:c r="A186" s="8" t="n">
        <x:v>46277.562893518516</x:v>
      </x:c>
      <x:c r="B186" s="10" t="n">
        <x:v>1789209034</x:v>
      </x:c>
      <x:c r="C186" s="3" t="str">
        <x:v>production</x:v>
      </x:c>
      <x:c r="D186" s="3" t="str">
        <x:v>ACTIVE / POSITIVE</x:v>
      </x:c>
      <x:c r="E186" s="3" t="str">
        <x:v>Broad momentum is positive; still require entry confirmation.</x:v>
      </x:c>
      <x:c r="F186" s="10" t="n">
        <x:v>46</x:v>
      </x:c>
      <x:c r="G186" s="9" t="n">
        <x:v>50</x:v>
      </x:c>
      <x:c r="H186" s="9" t="n">
        <x:v>15.2</x:v>
      </x:c>
      <x:c r="I186" s="9" t="n">
        <x:v>89.1</x:v>
      </x:c>
      <x:c r="J186" s="9" t="n">
        <x:v>1.49</x:v>
      </x:c>
      <x:c r="K186" s="9" t="n">
        <x:v>8.15</x:v>
      </x:c>
      <x:c r="L186" s="3" t="str">
        <x:v>Liquid non-stable USDT pairs: volume &gt;= 10M; up/down threshold +/-1.5%; active logarithmic range threshold 3.0%; quiet active breadth threshold 35%; median direction threshold +/-1.0%.</x:v>
      </x:c>
      <x:c r="M186" s="10" t="n">
        <x:v>841</x:v>
      </x:c>
      <x:c r="N186" s="3" t="str">
        <x:v>{"recorded_at": 1789209034, "environment": "production", "regime": "ACTIVE / POSITIVE", "expectation": "Broad momentum is positive; still require entry confirmation.", "sample_size": 46, "up_pct": 50.0, "down_pct": 15.2, "active_pct": 89.1, "median_change_pct": 1.49, "median_range_pct": 8.15, "formula": "Liquid non-stable USDT pairs: volume &gt;= 10M; up/down threshold +/-1.5%; active logarithmic range threshold 3.0%; quiet active breadth threshold 35%; median direction threshold +/-1.0%."}</x:v>
      </x:c>
    </x:row>
    <x:row r="187" ht="21" customHeight="1">
      <x:c r="A187" s="8" t="n">
        <x:v>46277.62886574074</x:v>
      </x:c>
      <x:c r="B187" s="10" t="n">
        <x:v>1789214734</x:v>
      </x:c>
      <x:c r="C187" s="3" t="str">
        <x:v>production</x:v>
      </x:c>
      <x:c r="D187" s="3" t="str">
        <x:v>ACTIVE / POSITIVE</x:v>
      </x:c>
      <x:c r="E187" s="3" t="str">
        <x:v>Broad momentum is positive; still require entry confirmation.</x:v>
      </x:c>
      <x:c r="F187" s="10" t="n">
        <x:v>45</x:v>
      </x:c>
      <x:c r="G187" s="9" t="n">
        <x:v>57.8</x:v>
      </x:c>
      <x:c r="H187" s="9" t="n">
        <x:v>11.1</x:v>
      </x:c>
      <x:c r="I187" s="9" t="n">
        <x:v>88.9</x:v>
      </x:c>
      <x:c r="J187" s="9" t="n">
        <x:v>1.94</x:v>
      </x:c>
      <x:c r="K187" s="9" t="n">
        <x:v>8.07</x:v>
      </x:c>
      <x:c r="L187" s="3" t="str">
        <x:v>Liquid non-stable USDT pairs: volume &gt;= 10M; up/down threshold +/-1.5%; active logarithmic range threshold 3.0%; quiet active breadth threshold 35%; median direction threshold +/-1.0%.</x:v>
      </x:c>
      <x:c r="M187" s="10" t="n">
        <x:v>842</x:v>
      </x:c>
      <x:c r="N187" s="3" t="str">
        <x:v>{"recorded_at": 1789214734, "environment": "production", "regime": "ACTIVE / POSITIVE", "expectation": "Broad momentum is positive; still require entry confirmation.", "sample_size": 45, "up_pct": 57.8, "down_pct": 11.1, "active_pct": 88.9, "median_change_pct": 1.94, "median_range_pct": 8.07, "formula": "Liquid non-stable USDT pairs: volume &gt;= 10M; up/down threshold +/-1.5%; active logarithmic range threshold 3.0%; quiet active breadth threshold 35%; median direction threshold +/-1.0%."}</x:v>
      </x:c>
    </x:row>
    <x:row r="188" ht="21" customHeight="1">
      <x:c r="A188" s="8" t="n">
        <x:v>46277.63940972222</x:v>
      </x:c>
      <x:c r="B188" s="10" t="n">
        <x:v>1789215645</x:v>
      </x:c>
      <x:c r="C188" s="3" t="str">
        <x:v>production</x:v>
      </x:c>
      <x:c r="D188" s="3" t="str">
        <x:v>ACTIVE / POSITIVE</x:v>
      </x:c>
      <x:c r="E188" s="3" t="str">
        <x:v>Broad momentum is positive; still require entry confirmation.</x:v>
      </x:c>
      <x:c r="F188" s="10" t="n">
        <x:v>45</x:v>
      </x:c>
      <x:c r="G188" s="9" t="n">
        <x:v>62.2</x:v>
      </x:c>
      <x:c r="H188" s="9" t="n">
        <x:v>11.1</x:v>
      </x:c>
      <x:c r="I188" s="9" t="n">
        <x:v>88.9</x:v>
      </x:c>
      <x:c r="J188" s="9" t="n">
        <x:v>2.04</x:v>
      </x:c>
      <x:c r="K188" s="9" t="n">
        <x:v>8.07</x:v>
      </x:c>
      <x:c r="L188" s="3" t="str">
        <x:v>Liquid non-stable USDT pairs: volume &gt;= 10M; up/down threshold +/-1.5%; active logarithmic range threshold 3.0%; quiet active breadth threshold 35%; median direction threshold +/-1.0%.</x:v>
      </x:c>
      <x:c r="M188" s="10" t="n">
        <x:v>843</x:v>
      </x:c>
      <x:c r="N188" s="3" t="str">
        <x:v>{"recorded_at": 1789215645, "environment": "production", "regime": "ACTIVE / POSITIVE", "expectation": "Broad momentum is positive; still require entry confirmation.", "sample_size": 45, "up_pct": 62.2, "down_pct": 11.1, "active_pct": 88.9, "median_change_pct": 2.04, "median_range_pct": 8.07, "formula": "Liquid non-stable USDT pairs: volume &gt;= 10M; up/down threshold +/-1.5%; active logarithmic range threshold 3.0%; quiet active breadth threshold 35%; median direction threshold +/-1.0%."}</x:v>
      </x:c>
    </x:row>
    <x:row r="189" ht="21" customHeight="1">
      <x:c r="A189" s="8" t="n">
        <x:v>46277.64994212963</x:v>
      </x:c>
      <x:c r="B189" s="10" t="n">
        <x:v>1789216555</x:v>
      </x:c>
      <x:c r="C189" s="3" t="str">
        <x:v>production</x:v>
      </x:c>
      <x:c r="D189" s="3" t="str">
        <x:v>ACTIVE / POSITIVE</x:v>
      </x:c>
      <x:c r="E189" s="3" t="str">
        <x:v>Broad momentum is positive; still require entry confirmation.</x:v>
      </x:c>
      <x:c r="F189" s="10" t="n">
        <x:v>43</x:v>
      </x:c>
      <x:c r="G189" s="9" t="n">
        <x:v>44.2</x:v>
      </x:c>
      <x:c r="H189" s="9" t="n">
        <x:v>16.3</x:v>
      </x:c>
      <x:c r="I189" s="9" t="n">
        <x:v>90.7</x:v>
      </x:c>
      <x:c r="J189" s="9" t="n">
        <x:v>1.25</x:v>
      </x:c>
      <x:c r="K189" s="9" t="n">
        <x:v>6.89</x:v>
      </x:c>
      <x:c r="L189" s="3" t="str">
        <x:v>Liquid non-stable USDT pairs: volume &gt;= 10M; up/down threshold +/-1.5%; active logarithmic range threshold 3.0%; quiet active breadth threshold 35%; median direction threshold +/-1.0%.</x:v>
      </x:c>
      <x:c r="M189" s="10" t="n">
        <x:v>844</x:v>
      </x:c>
      <x:c r="N189" s="3" t="str">
        <x:v>{"recorded_at": 1789216555, "environment": "production", "regime": "ACTIVE / POSITIVE", "expectation": "Broad momentum is positive; still require entry confirmation.", "sample_size": 43, "up_pct": 44.2, "down_pct": 16.3, "active_pct": 90.7, "median_change_pct": 1.25, "median_range_pct": 6.89, "formula": "Liquid non-stable USDT pairs: volume &gt;= 10M; up/down threshold +/-1.5%; active logarithmic range threshold 3.0%; quiet active breadth threshold 35%; median direction threshold +/-1.0%."}</x:v>
      </x:c>
    </x:row>
    <x:row r="190" ht="21" customHeight="1">
      <x:c r="A190" s="8" t="n">
        <x:v>46277.66048611111</x:v>
      </x:c>
      <x:c r="B190" s="10" t="n">
        <x:v>1789217466</x:v>
      </x:c>
      <x:c r="C190" s="3" t="str">
        <x:v>production</x:v>
      </x:c>
      <x:c r="D190" s="3" t="str">
        <x:v>ACTIVE / MIXED</x:v>
      </x:c>
      <x:c r="E190" s="3" t="str">
        <x:v>Movement is sufficient, but market direction is divided.</x:v>
      </x:c>
      <x:c r="F190" s="10" t="n">
        <x:v>41</x:v>
      </x:c>
      <x:c r="G190" s="9" t="n">
        <x:v>19.5</x:v>
      </x:c>
      <x:c r="H190" s="9" t="n">
        <x:v>26.8</x:v>
      </x:c>
      <x:c r="I190" s="9" t="n">
        <x:v>92.7</x:v>
      </x:c>
      <x:c r="J190" s="9" t="n">
        <x:v>0</x:v>
      </x:c>
      <x:c r="K190" s="9" t="n">
        <x:v>6.89</x:v>
      </x:c>
      <x:c r="L190" s="3" t="str">
        <x:v>Liquid non-stable USDT pairs: volume &gt;= 10M; up/down threshold +/-1.5%; active logarithmic range threshold 3.0%; quiet active breadth threshold 35%; median direction threshold +/-1.0%.</x:v>
      </x:c>
      <x:c r="M190" s="10" t="n">
        <x:v>845</x:v>
      </x:c>
      <x:c r="N190" s="3" t="str">
        <x:v>{"recorded_at": 1789217466, "environment": "production", "regime": "ACTIVE / MIXED", "expectation": "Movement is sufficient, but market direction is divided.", "sample_size": 41, "up_pct": 19.5, "down_pct": 26.8, "active_pct": 92.7, "median_change_pct": 0.0, "median_range_pct": 6.89, "formula": "Liquid non-stable USDT pairs: volume &gt;= 10M; up/down threshold +/-1.5%; active logarithmic range threshold 3.0%; quiet active breadth threshold 35%; median direction threshold +/-1.0%."}</x:v>
      </x:c>
    </x:row>
    <x:row r="191" ht="21" customHeight="1">
      <x:c r="A191" s="8" t="n">
        <x:v>46277.671319444446</x:v>
      </x:c>
      <x:c r="B191" s="10" t="n">
        <x:v>1789218402</x:v>
      </x:c>
      <x:c r="C191" s="3" t="str">
        <x:v>production</x:v>
      </x:c>
      <x:c r="D191" s="3" t="str">
        <x:v>ACTIVE / MIXED</x:v>
      </x:c>
      <x:c r="E191" s="3" t="str">
        <x:v>Movement is sufficient, but market direction is divided.</x:v>
      </x:c>
      <x:c r="F191" s="10" t="n">
        <x:v>41</x:v>
      </x:c>
      <x:c r="G191" s="9" t="n">
        <x:v>19.5</x:v>
      </x:c>
      <x:c r="H191" s="9" t="n">
        <x:v>34.1</x:v>
      </x:c>
      <x:c r="I191" s="9" t="n">
        <x:v>92.7</x:v>
      </x:c>
      <x:c r="J191" s="9" t="n">
        <x:v>0</x:v>
      </x:c>
      <x:c r="K191" s="9" t="n">
        <x:v>6.86</x:v>
      </x:c>
      <x:c r="L191" s="3" t="str">
        <x:v>Liquid non-stable USDT pairs: volume &gt;= 10M; up/down threshold +/-1.5%; active logarithmic range threshold 3.0%; quiet active breadth threshold 35%; median direction threshold +/-1.0%.</x:v>
      </x:c>
      <x:c r="M191" s="10" t="n">
        <x:v>846</x:v>
      </x:c>
      <x:c r="N191" s="3" t="str">
        <x:v>{"recorded_at": 1789218402, "environment": "production", "regime": "ACTIVE / MIXED", "expectation": "Movement is sufficient, but market direction is divided.", "sample_size": 41, "up_pct": 19.5, "down_pct": 34.1, "active_pct": 92.7, "median_change_pct": 0.0, "median_range_pct": 6.86, "formula": "Liquid non-stable USDT pairs: volume &gt;= 10M; up/down threshold +/-1.5%; active logarithmic range threshold 3.0%; quiet active breadth threshold 35%; median direction threshold +/-1.0%."}</x:v>
      </x:c>
    </x:row>
    <x:row r="192" ht="21" customHeight="1">
      <x:c r="A192" s="8" t="n">
        <x:v>46277.68189814815</x:v>
      </x:c>
      <x:c r="B192" s="10" t="n">
        <x:v>1789219316</x:v>
      </x:c>
      <x:c r="C192" s="3" t="str">
        <x:v>production</x:v>
      </x:c>
      <x:c r="D192" s="3" t="str">
        <x:v>ACTIVE / MIXED</x:v>
      </x:c>
      <x:c r="E192" s="3" t="str">
        <x:v>Movement is sufficient, but market direction is divided.</x:v>
      </x:c>
      <x:c r="F192" s="10" t="n">
        <x:v>40</x:v>
      </x:c>
      <x:c r="G192" s="9" t="n">
        <x:v>17.5</x:v>
      </x:c>
      <x:c r="H192" s="9" t="n">
        <x:v>25</x:v>
      </x:c>
      <x:c r="I192" s="9" t="n">
        <x:v>92.5</x:v>
      </x:c>
      <x:c r="J192" s="9" t="n">
        <x:v>0.02</x:v>
      </x:c>
      <x:c r="K192" s="9" t="n">
        <x:v>6.75</x:v>
      </x:c>
      <x:c r="L192" s="3" t="str">
        <x:v>Liquid non-stable USDT pairs: volume &gt;= 10M; up/down threshold +/-1.5%; active logarithmic range threshold 3.0%; quiet active breadth threshold 35%; median direction threshold +/-1.0%.</x:v>
      </x:c>
      <x:c r="M192" s="10" t="n">
        <x:v>847</x:v>
      </x:c>
      <x:c r="N192" s="3" t="str">
        <x:v>{"recorded_at": 1789219316, "environment": "production", "regime": "ACTIVE / MIXED", "expectation": "Movement is sufficient, but market direction is divided.", "sample_size": 40, "up_pct": 17.5, "down_pct": 25.0, "active_pct": 92.5, "median_change_pct": 0.02, "median_range_pct": 6.75, "formula": "Liquid non-stable USDT pairs: volume &gt;= 10M; up/down threshold +/-1.5%; active logarithmic range threshold 3.0%; quiet active breadth threshold 35%; median direction threshold +/-1.0%."}</x:v>
      </x:c>
    </x:row>
    <x:row r="193" ht="21" customHeight="1">
      <x:c r="A193" s="8" t="n">
        <x:v>46277.692465277774</x:v>
      </x:c>
      <x:c r="B193" s="10" t="n">
        <x:v>1789220229</x:v>
      </x:c>
      <x:c r="C193" s="3" t="str">
        <x:v>production</x:v>
      </x:c>
      <x:c r="D193" s="3" t="str">
        <x:v>ACTIVE / POSITIVE</x:v>
      </x:c>
      <x:c r="E193" s="3" t="str">
        <x:v>Broad momentum is positive; still require entry confirmation.</x:v>
      </x:c>
      <x:c r="F193" s="10" t="n">
        <x:v>40</x:v>
      </x:c>
      <x:c r="G193" s="9" t="n">
        <x:v>37.5</x:v>
      </x:c>
      <x:c r="H193" s="9" t="n">
        <x:v>17.5</x:v>
      </x:c>
      <x:c r="I193" s="9" t="n">
        <x:v>92.5</x:v>
      </x:c>
      <x:c r="J193" s="9" t="n">
        <x:v>1.11</x:v>
      </x:c>
      <x:c r="K193" s="9" t="n">
        <x:v>6.82</x:v>
      </x:c>
      <x:c r="L193" s="3" t="str">
        <x:v>Liquid non-stable USDT pairs: volume &gt;= 10M; up/down threshold +/-1.5%; active logarithmic range threshold 3.0%; quiet active breadth threshold 35%; median direction threshold +/-1.0%.</x:v>
      </x:c>
      <x:c r="M193" s="10" t="n">
        <x:v>848</x:v>
      </x:c>
      <x:c r="N193" s="3" t="str">
        <x:v>{"recorded_at": 1789220229, "environment": "production", "regime": "ACTIVE / POSITIVE", "expectation": "Broad momentum is positive; still require entry confirmation.", "sample_size": 40, "up_pct": 37.5, "down_pct": 17.5, "active_pct": 92.5, "median_change_pct": 1.11, "median_range_pct": 6.82, "formula": "Liquid non-stable USDT pairs: volume &gt;= 10M; up/down threshold +/-1.5%; active logarithmic range threshold 3.0%; quiet active breadth threshold 35%; median direction threshold +/-1.0%."}</x:v>
      </x:c>
    </x:row>
    <x:row r="194" ht="21" customHeight="1">
      <x:c r="A194" s="8" t="n">
        <x:v>46277.702893518515</x:v>
      </x:c>
      <x:c r="B194" s="10" t="n">
        <x:v>1789221130</x:v>
      </x:c>
      <x:c r="C194" s="3" t="str">
        <x:v>production</x:v>
      </x:c>
      <x:c r="D194" s="3" t="str">
        <x:v>ACTIVE / WEAK</x:v>
      </x:c>
      <x:c r="E194" s="3" t="str">
        <x:v>Broad selling pressure is elevated; new longs need caution.</x:v>
      </x:c>
      <x:c r="F194" s="10" t="n">
        <x:v>37</x:v>
      </x:c>
      <x:c r="G194" s="9" t="n">
        <x:v>13.5</x:v>
      </x:c>
      <x:c r="H194" s="9" t="n">
        <x:v>59.5</x:v>
      </x:c>
      <x:c r="I194" s="9" t="n">
        <x:v>89.2</x:v>
      </x:c>
      <x:c r="J194" s="9" t="n">
        <x:v>-1.88</x:v>
      </x:c>
      <x:c r="K194" s="9" t="n">
        <x:v>6.67</x:v>
      </x:c>
      <x:c r="L194" s="3" t="str">
        <x:v>Liquid non-stable USDT pairs: volume &gt;= 10M; up/down threshold +/-1.5%; active logarithmic range threshold 3.0%; quiet active breadth threshold 35%; median direction threshold +/-1.0%.</x:v>
      </x:c>
      <x:c r="M194" s="10" t="n">
        <x:v>849</x:v>
      </x:c>
      <x:c r="N194" s="3" t="str">
        <x:v>{"recorded_at": 1789221130, "environment": "production", "regime": "ACTIVE / WEAK", "expectation": "Broad selling pressure is elevated; new longs need caution.", "sample_size": 37, "up_pct": 13.5, "down_pct": 59.5, "active_pct": 89.2, "median_change_pct": -1.88, "median_range_pct": 6.67, "formula": "Liquid non-stable USDT pairs: volume &gt;= 10M; up/down threshold +/-1.5%; active logarithmic range threshold 3.0%; quiet active breadth threshold 35%; median direction threshold +/-1.0%."}</x:v>
      </x:c>
    </x:row>
    <x:row r="195" ht="21" customHeight="1">
      <x:c r="A195" s="8" t="n">
        <x:v>46277.71333333333</x:v>
      </x:c>
      <x:c r="B195" s="10" t="n">
        <x:v>1789222032</x:v>
      </x:c>
      <x:c r="C195" s="3" t="str">
        <x:v>production</x:v>
      </x:c>
      <x:c r="D195" s="3" t="str">
        <x:v>ACTIVE / WEAK</x:v>
      </x:c>
      <x:c r="E195" s="3" t="str">
        <x:v>Broad selling pressure is elevated; new longs need caution.</x:v>
      </x:c>
      <x:c r="F195" s="10" t="n">
        <x:v>36</x:v>
      </x:c>
      <x:c r="G195" s="9" t="n">
        <x:v>11.1</x:v>
      </x:c>
      <x:c r="H195" s="9" t="n">
        <x:v>63.9</x:v>
      </x:c>
      <x:c r="I195" s="9" t="n">
        <x:v>88.9</x:v>
      </x:c>
      <x:c r="J195" s="9" t="n">
        <x:v>-2.45</x:v>
      </x:c>
      <x:c r="K195" s="9" t="n">
        <x:v>6.3</x:v>
      </x:c>
      <x:c r="L195" s="3" t="str">
        <x:v>Liquid non-stable USDT pairs: volume &gt;= 10M; up/down threshold +/-1.5%; active logarithmic range threshold 3.0%; quiet active breadth threshold 35%; median direction threshold +/-1.0%.</x:v>
      </x:c>
      <x:c r="M195" s="10" t="n">
        <x:v>850</x:v>
      </x:c>
      <x:c r="N195" s="3" t="str">
        <x:v>{"recorded_at": 1789222032, "environment": "production", "regime": "ACTIVE / WEAK", "expectation": "Broad selling pressure is elevated; new longs need caution.", "sample_size": 36, "up_pct": 11.1, "down_pct": 63.9, "active_pct": 88.9, "median_change_pct": -2.45, "median_range_pct": 6.3, "formula": "Liquid non-stable USDT pairs: volume &gt;= 10M; up/down threshold +/-1.5%; active logarithmic range threshold 3.0%; quiet active breadth threshold 35%; median direction threshold +/-1.0%."}</x:v>
      </x:c>
    </x:row>
    <x:row r="196" ht="21" customHeight="1">
      <x:c r="A196" s="8" t="n">
        <x:v>46277.723807870374</x:v>
      </x:c>
      <x:c r="B196" s="10" t="n">
        <x:v>1789222937</x:v>
      </x:c>
      <x:c r="C196" s="3" t="str">
        <x:v>production</x:v>
      </x:c>
      <x:c r="D196" s="3" t="str">
        <x:v>ACTIVE / WEAK</x:v>
      </x:c>
      <x:c r="E196" s="3" t="str">
        <x:v>Broad selling pressure is elevated; new longs need caution.</x:v>
      </x:c>
      <x:c r="F196" s="10" t="n">
        <x:v>33</x:v>
      </x:c>
      <x:c r="G196" s="9" t="n">
        <x:v>12.1</x:v>
      </x:c>
      <x:c r="H196" s="9" t="n">
        <x:v>66.7</x:v>
      </x:c>
      <x:c r="I196" s="9" t="n">
        <x:v>84.8</x:v>
      </x:c>
      <x:c r="J196" s="9" t="n">
        <x:v>-2.16</x:v>
      </x:c>
      <x:c r="K196" s="9" t="n">
        <x:v>6.67</x:v>
      </x:c>
      <x:c r="L196" s="3" t="str">
        <x:v>Liquid non-stable USDT pairs: volume &gt;= 10M; up/down threshold +/-1.5%; active logarithmic range threshold 3.0%; quiet active breadth threshold 35%; median direction threshold +/-1.0%.</x:v>
      </x:c>
      <x:c r="M196" s="10" t="n">
        <x:v>851</x:v>
      </x:c>
      <x:c r="N196" s="3" t="str">
        <x:v>{"recorded_at": 1789222937, "environment": "production", "regime": "ACTIVE / WEAK", "expectation": "Broad selling pressure is elevated; new longs need caution.", "sample_size": 33, "up_pct": 12.1, "down_pct": 66.7, "active_pct": 84.8, "median_change_pct": -2.16, "median_range_pct": 6.67, "formula": "Liquid non-stable USDT pairs: volume &gt;= 10M; up/down threshold +/-1.5%; active logarithmic range threshold 3.0%; quiet active breadth threshold 35%; median direction threshold +/-1.0%."}</x:v>
      </x:c>
    </x:row>
    <x:row r="197" ht="21" customHeight="1">
      <x:c r="A197" s="8" t="n">
        <x:v>46277.73457175926</x:v>
      </x:c>
      <x:c r="B197" s="10" t="n">
        <x:v>1789223867</x:v>
      </x:c>
      <x:c r="C197" s="3" t="str">
        <x:v>production</x:v>
      </x:c>
      <x:c r="D197" s="3" t="str">
        <x:v>ACTIVE / WEAK</x:v>
      </x:c>
      <x:c r="E197" s="3" t="str">
        <x:v>Broad selling pressure is elevated; new longs need caution.</x:v>
      </x:c>
      <x:c r="F197" s="10" t="n">
        <x:v>33</x:v>
      </x:c>
      <x:c r="G197" s="9" t="n">
        <x:v>12.1</x:v>
      </x:c>
      <x:c r="H197" s="9" t="n">
        <x:v>48.5</x:v>
      </x:c>
      <x:c r="I197" s="9" t="n">
        <x:v>84.8</x:v>
      </x:c>
      <x:c r="J197" s="9" t="n">
        <x:v>-1.47</x:v>
      </x:c>
      <x:c r="K197" s="9" t="n">
        <x:v>6.67</x:v>
      </x:c>
      <x:c r="L197" s="3" t="str">
        <x:v>Liquid non-stable USDT pairs: volume &gt;= 10M; up/down threshold +/-1.5%; active logarithmic range threshold 3.0%; quiet active breadth threshold 35%; median direction threshold +/-1.0%.</x:v>
      </x:c>
      <x:c r="M197" s="10" t="n">
        <x:v>852</x:v>
      </x:c>
      <x:c r="N197" s="3" t="str">
        <x:v>{"recorded_at": 1789223867, "environment": "production", "regime": "ACTIVE / WEAK", "expectation": "Broad selling pressure is elevated; new longs need caution.", "sample_size": 33, "up_pct": 12.1, "down_pct": 48.5, "active_pct": 84.8, "median_change_pct": -1.47, "median_range_pct": 6.67, "formula": "Liquid non-stable USDT pairs: volume &gt;= 10M; up/down threshold +/-1.5%; active logarithmic range threshold 3.0%; quiet active breadth threshold 35%; median direction threshold +/-1.0%."}</x:v>
      </x:c>
    </x:row>
    <x:row r="198" ht="21" customHeight="1">
      <x:c r="A198" s="8" t="n">
        <x:v>46277.74523148148</x:v>
      </x:c>
      <x:c r="B198" s="10" t="n">
        <x:v>1789224788</x:v>
      </x:c>
      <x:c r="C198" s="3" t="str">
        <x:v>production</x:v>
      </x:c>
      <x:c r="D198" s="3" t="str">
        <x:v>ACTIVE / WEAK</x:v>
      </x:c>
      <x:c r="E198" s="3" t="str">
        <x:v>Broad selling pressure is elevated; new longs need caution.</x:v>
      </x:c>
      <x:c r="F198" s="10" t="n">
        <x:v>32</x:v>
      </x:c>
      <x:c r="G198" s="9" t="n">
        <x:v>12.5</x:v>
      </x:c>
      <x:c r="H198" s="9" t="n">
        <x:v>62.5</x:v>
      </x:c>
      <x:c r="I198" s="9" t="n">
        <x:v>84.4</x:v>
      </x:c>
      <x:c r="J198" s="9" t="n">
        <x:v>-1.73</x:v>
      </x:c>
      <x:c r="K198" s="9" t="n">
        <x:v>6.77</x:v>
      </x:c>
      <x:c r="L198" s="3" t="str">
        <x:v>Liquid non-stable USDT pairs: volume &gt;= 10M; up/down threshold +/-1.5%; active logarithmic range threshold 3.0%; quiet active breadth threshold 35%; median direction threshold +/-1.0%.</x:v>
      </x:c>
      <x:c r="M198" s="10" t="n">
        <x:v>853</x:v>
      </x:c>
      <x:c r="N198" s="3" t="str">
        <x:v>{"recorded_at": 1789224788, "environment": "production", "regime": "ACTIVE / WEAK", "expectation": "Broad selling pressure is elevated; new longs need caution.", "sample_size": 32, "up_pct": 12.5, "down_pct": 62.5, "active_pct": 84.4, "median_change_pct": -1.73, "median_range_pct": 6.77, "formula": "Liquid non-stable USDT pairs: volume &gt;= 10M; up/down threshold +/-1.5%; active logarithmic range threshold 3.0%; quiet active breadth threshold 35%; median direction threshold +/-1.0%."}</x:v>
      </x:c>
    </x:row>
    <x:row r="199" ht="21" customHeight="1">
      <x:c r="A199" s="8" t="n">
        <x:v>46277.75587962963</x:v>
      </x:c>
      <x:c r="B199" s="10" t="n">
        <x:v>1789225708</x:v>
      </x:c>
      <x:c r="C199" s="3" t="str">
        <x:v>production</x:v>
      </x:c>
      <x:c r="D199" s="3" t="str">
        <x:v>ACTIVE / WEAK</x:v>
      </x:c>
      <x:c r="E199" s="3" t="str">
        <x:v>Broad selling pressure is elevated; new longs need caution.</x:v>
      </x:c>
      <x:c r="F199" s="10" t="n">
        <x:v>31</x:v>
      </x:c>
      <x:c r="G199" s="9" t="n">
        <x:v>16.1</x:v>
      </x:c>
      <x:c r="H199" s="9" t="n">
        <x:v>45.2</x:v>
      </x:c>
      <x:c r="I199" s="9" t="n">
        <x:v>83.9</x:v>
      </x:c>
      <x:c r="J199" s="9" t="n">
        <x:v>-1.37</x:v>
      </x:c>
      <x:c r="K199" s="9" t="n">
        <x:v>6.86</x:v>
      </x:c>
      <x:c r="L199" s="3" t="str">
        <x:v>Liquid non-stable USDT pairs: volume &gt;= 10M; up/down threshold +/-1.5%; active logarithmic range threshold 3.0%; quiet active breadth threshold 35%; median direction threshold +/-1.0%.</x:v>
      </x:c>
      <x:c r="M199" s="10" t="n">
        <x:v>854</x:v>
      </x:c>
      <x:c r="N199" s="3" t="str">
        <x:v>{"recorded_at": 1789225708, "environment": "production", "regime": "ACTIVE / WEAK", "expectation": "Broad selling pressure is elevated; new longs need caution.", "sample_size": 31, "up_pct": 16.1, "down_pct": 45.2, "active_pct": 83.9, "median_change_pct": -1.37, "median_range_pct": 6.86, "formula": "Liquid non-stable USDT pairs: volume &gt;= 10M; up/down threshold +/-1.5%; active logarithmic range threshold 3.0%; quiet active breadth threshold 35%; median direction threshold +/-1.0%."}</x:v>
      </x:c>
    </x:row>
    <x:row r="200" ht="21" customHeight="1">
      <x:c r="A200" s="8" t="n">
        <x:v>46277.766701388886</x:v>
      </x:c>
      <x:c r="B200" s="10" t="n">
        <x:v>1789226643</x:v>
      </x:c>
      <x:c r="C200" s="3" t="str">
        <x:v>production</x:v>
      </x:c>
      <x:c r="D200" s="3" t="str">
        <x:v>ACTIVE / WEAK</x:v>
      </x:c>
      <x:c r="E200" s="3" t="str">
        <x:v>Broad selling pressure is elevated; new longs need caution.</x:v>
      </x:c>
      <x:c r="F200" s="10" t="n">
        <x:v>31</x:v>
      </x:c>
      <x:c r="G200" s="9" t="n">
        <x:v>16.1</x:v>
      </x:c>
      <x:c r="H200" s="9" t="n">
        <x:v>58.1</x:v>
      </x:c>
      <x:c r="I200" s="9" t="n">
        <x:v>83.9</x:v>
      </x:c>
      <x:c r="J200" s="9" t="n">
        <x:v>-1.74</x:v>
      </x:c>
      <x:c r="K200" s="9" t="n">
        <x:v>6.86</x:v>
      </x:c>
      <x:c r="L200" s="3" t="str">
        <x:v>Liquid non-stable USDT pairs: volume &gt;= 10M; up/down threshold +/-1.5%; active logarithmic range threshold 3.0%; quiet active breadth threshold 35%; median direction threshold +/-1.0%.</x:v>
      </x:c>
      <x:c r="M200" s="10" t="n">
        <x:v>855</x:v>
      </x:c>
      <x:c r="N200" s="3" t="str">
        <x:v>{"recorded_at": 1789226643, "environment": "production", "regime": "ACTIVE / WEAK", "expectation": "Broad selling pressure is elevated; new longs need caution.", "sample_size": 31, "up_pct": 16.1, "down_pct": 58.1, "active_pct": 83.9, "median_change_pct": -1.74, "median_range_pct": 6.86, "formula": "Liquid non-stable USDT pairs: volume &gt;= 10M; up/down threshold +/-1.5%; active logarithmic range threshold 3.0%; quiet active breadth threshold 35%; median direction threshold +/-1.0%."}</x:v>
      </x:c>
    </x:row>
    <x:row r="201" ht="21" customHeight="1">
      <x:c r="A201" s="8" t="n">
        <x:v>46277.77747685185</x:v>
      </x:c>
      <x:c r="B201" s="10" t="n">
        <x:v>1789227574</x:v>
      </x:c>
      <x:c r="C201" s="3" t="str">
        <x:v>production</x:v>
      </x:c>
      <x:c r="D201" s="3" t="str">
        <x:v>ACTIVE / WEAK</x:v>
      </x:c>
      <x:c r="E201" s="3" t="str">
        <x:v>Broad selling pressure is elevated; new longs need caution.</x:v>
      </x:c>
      <x:c r="F201" s="10" t="n">
        <x:v>31</x:v>
      </x:c>
      <x:c r="G201" s="9" t="n">
        <x:v>16.1</x:v>
      </x:c>
      <x:c r="H201" s="9" t="n">
        <x:v>58.1</x:v>
      </x:c>
      <x:c r="I201" s="9" t="n">
        <x:v>83.9</x:v>
      </x:c>
      <x:c r="J201" s="9" t="n">
        <x:v>-2.19</x:v>
      </x:c>
      <x:c r="K201" s="9" t="n">
        <x:v>6.86</x:v>
      </x:c>
      <x:c r="L201" s="3" t="str">
        <x:v>Liquid non-stable USDT pairs: volume &gt;= 10M; up/down threshold +/-1.5%; active logarithmic range threshold 3.0%; quiet active breadth threshold 35%; median direction threshold +/-1.0%.</x:v>
      </x:c>
      <x:c r="M201" s="10" t="n">
        <x:v>856</x:v>
      </x:c>
      <x:c r="N201" s="3" t="str">
        <x:v>{"recorded_at": 1789227574, "environment": "production", "regime": "ACTIVE / WEAK", "expectation": "Broad selling pressure is elevated; new longs need caution.", "sample_size": 31, "up_pct": 16.1, "down_pct": 58.1, "active_pct": 83.9, "median_change_pct": -2.19, "median_range_pct": 6.86, "formula": "Liquid non-stable USDT pairs: volume &gt;= 10M; up/down threshold +/-1.5%; active logarithmic range threshold 3.0%; quiet active breadth threshold 35%; median direction threshold +/-1.0%."}</x:v>
      </x:c>
    </x:row>
    <x:row r="202" ht="21" customHeight="1">
      <x:c r="A202" s="8" t="n">
        <x:v>46277.78803240741</x:v>
      </x:c>
      <x:c r="B202" s="10" t="n">
        <x:v>1789228486</x:v>
      </x:c>
      <x:c r="C202" s="3" t="str">
        <x:v>production</x:v>
      </x:c>
      <x:c r="D202" s="3" t="str">
        <x:v>ACTIVE / MIXED</x:v>
      </x:c>
      <x:c r="E202" s="3" t="str">
        <x:v>Movement is sufficient, but market direction is divided.</x:v>
      </x:c>
      <x:c r="F202" s="10" t="n">
        <x:v>30</x:v>
      </x:c>
      <x:c r="G202" s="9" t="n">
        <x:v>20</x:v>
      </x:c>
      <x:c r="H202" s="9" t="n">
        <x:v>20</x:v>
      </x:c>
      <x:c r="I202" s="9" t="n">
        <x:v>76.7</x:v>
      </x:c>
      <x:c r="J202" s="9" t="n">
        <x:v>0.03</x:v>
      </x:c>
      <x:c r="K202" s="9" t="n">
        <x:v>5.62</x:v>
      </x:c>
      <x:c r="L202" s="3" t="str">
        <x:v>Liquid non-stable USDT pairs: volume &gt;= 10M; up/down threshold +/-1.5%; active logarithmic range threshold 3.0%; quiet active breadth threshold 35%; median direction threshold +/-1.0%.</x:v>
      </x:c>
      <x:c r="M202" s="10" t="n">
        <x:v>857</x:v>
      </x:c>
      <x:c r="N202" s="3" t="str">
        <x:v>{"recorded_at": 1789228486, "environment": "production", "regime": "ACTIVE / MIXED", "expectation": "Movement is sufficient, but market direction is divided.", "sample_size": 30, "up_pct": 20.0, "down_pct": 20.0, "active_pct": 76.7, "median_change_pct": 0.03, "median_range_pct": 5.62, "formula": "Liquid non-stable USDT pairs: volume &gt;= 10M; up/down threshold +/-1.5%; active logarithmic range threshold 3.0%; quiet active breadth threshold 35%; median direction threshold +/-1.0%."}</x:v>
      </x:c>
    </x:row>
    <x:row r="203" ht="21" customHeight="1">
      <x:c r="A203" s="8" t="n">
        <x:v>46277.79866898148</x:v>
      </x:c>
      <x:c r="B203" s="10" t="n">
        <x:v>1789229405</x:v>
      </x:c>
      <x:c r="C203" s="3" t="str">
        <x:v>production</x:v>
      </x:c>
      <x:c r="D203" s="3" t="str">
        <x:v>ACTIVE / MIXED</x:v>
      </x:c>
      <x:c r="E203" s="3" t="str">
        <x:v>Movement is sufficient, but market direction is divided.</x:v>
      </x:c>
      <x:c r="F203" s="10" t="n">
        <x:v>30</x:v>
      </x:c>
      <x:c r="G203" s="9" t="n">
        <x:v>20</x:v>
      </x:c>
      <x:c r="H203" s="9" t="n">
        <x:v>30</x:v>
      </x:c>
      <x:c r="I203" s="9" t="n">
        <x:v>76.7</x:v>
      </x:c>
      <x:c r="J203" s="9" t="n">
        <x:v>-0.81</x:v>
      </x:c>
      <x:c r="K203" s="9" t="n">
        <x:v>5.62</x:v>
      </x:c>
      <x:c r="L203" s="3" t="str">
        <x:v>Liquid non-stable USDT pairs: volume &gt;= 10M; up/down threshold +/-1.5%; active logarithmic range threshold 3.0%; quiet active breadth threshold 35%; median direction threshold +/-1.0%.</x:v>
      </x:c>
      <x:c r="M203" s="10" t="n">
        <x:v>858</x:v>
      </x:c>
      <x:c r="N203" s="3" t="str">
        <x:v>{"recorded_at": 1789229405, "environment": "production", "regime": "ACTIVE / MIXED", "expectation": "Movement is sufficient, but market direction is divided.", "sample_size": 30, "up_pct": 20.0, "down_pct": 30.0, "active_pct": 76.7, "median_change_pct": -0.81, "median_range_pct": 5.62, "formula": "Liquid non-stable USDT pairs: volume &gt;= 10M; up/down threshold +/-1.5%; active logarithmic range threshold 3.0%; quiet active breadth threshold 35%; median direction threshold +/-1.0%."}</x:v>
      </x:c>
    </x:row>
    <x:row r="204" ht="21" customHeight="1">
      <x:c r="A204" s="8" t="n">
        <x:v>46277.80975694444</x:v>
      </x:c>
      <x:c r="B204" s="10" t="n">
        <x:v>1789230363</x:v>
      </x:c>
      <x:c r="C204" s="3" t="str">
        <x:v>production</x:v>
      </x:c>
      <x:c r="D204" s="3" t="str">
        <x:v>ACTIVE / MIXED</x:v>
      </x:c>
      <x:c r="E204" s="3" t="str">
        <x:v>Movement is sufficient, but market direction is divided.</x:v>
      </x:c>
      <x:c r="F204" s="10" t="n">
        <x:v>30</x:v>
      </x:c>
      <x:c r="G204" s="9" t="n">
        <x:v>20</x:v>
      </x:c>
      <x:c r="H204" s="9" t="n">
        <x:v>20</x:v>
      </x:c>
      <x:c r="I204" s="9" t="n">
        <x:v>70</x:v>
      </x:c>
      <x:c r="J204" s="9" t="n">
        <x:v>-0.29</x:v>
      </x:c>
      <x:c r="K204" s="9" t="n">
        <x:v>5.62</x:v>
      </x:c>
      <x:c r="L204" s="3" t="str">
        <x:v>Liquid non-stable USDT pairs: volume &gt;= 10M; up/down threshold +/-1.5%; active logarithmic range threshold 3.0%; quiet active breadth threshold 35%; median direction threshold +/-1.0%.</x:v>
      </x:c>
      <x:c r="M204" s="10" t="n">
        <x:v>859</x:v>
      </x:c>
      <x:c r="N204" s="3" t="str">
        <x:v>{"recorded_at": 1789230363, "environment": "production", "regime": "ACTIVE / MIXED", "expectation": "Movement is sufficient, but market direction is divided.", "sample_size": 30, "up_pct": 20.0, "down_pct": 20.0, "active_pct": 70.0, "median_change_pct": -0.29, "median_range_pct": 5.62, "formula": "Liquid non-stable USDT pairs: volume &gt;= 10M; up/down threshold +/-1.5%; active logarithmic range threshold 3.0%; quiet active breadth threshold 35%; median direction threshold +/-1.0%."}</x:v>
      </x:c>
    </x:row>
    <x:row r="205" ht="21" customHeight="1">
      <x:c r="A205" s="8" t="n">
        <x:v>46277.82059027778</x:v>
      </x:c>
      <x:c r="B205" s="10" t="n">
        <x:v>1789231299</x:v>
      </x:c>
      <x:c r="C205" s="3" t="str">
        <x:v>production</x:v>
      </x:c>
      <x:c r="D205" s="3" t="str">
        <x:v>ACTIVE / MIXED</x:v>
      </x:c>
      <x:c r="E205" s="3" t="str">
        <x:v>Movement is sufficient, but market direction is divided.</x:v>
      </x:c>
      <x:c r="F205" s="10" t="n">
        <x:v>31</x:v>
      </x:c>
      <x:c r="G205" s="9" t="n">
        <x:v>25.8</x:v>
      </x:c>
      <x:c r="H205" s="9" t="n">
        <x:v>25.8</x:v>
      </x:c>
      <x:c r="I205" s="9" t="n">
        <x:v>71</x:v>
      </x:c>
      <x:c r="J205" s="9" t="n">
        <x:v>-0.34</x:v>
      </x:c>
      <x:c r="K205" s="9" t="n">
        <x:v>5.7</x:v>
      </x:c>
      <x:c r="L205" s="3" t="str">
        <x:v>Liquid non-stable USDT pairs: volume &gt;= 10M; up/down threshold +/-1.5%; active logarithmic range threshold 3.0%; quiet active breadth threshold 35%; median direction threshold +/-1.0%.</x:v>
      </x:c>
      <x:c r="M205" s="10" t="n">
        <x:v>860</x:v>
      </x:c>
      <x:c r="N205" s="3" t="str">
        <x:v>{"recorded_at": 1789231299, "environment": "production", "regime": "ACTIVE / MIXED", "expectation": "Movement is sufficient, but market direction is divided.", "sample_size": 31, "up_pct": 25.8, "down_pct": 25.8, "active_pct": 71.0, "median_change_pct": -0.34, "median_range_pct": 5.7, "formula": "Liquid non-stable USDT pairs: volume &gt;= 10M; up/down threshold +/-1.5%; active logarithmic range threshold 3.0%; quiet active breadth threshold 35%; median direction threshold +/-1.0%."}</x:v>
      </x:c>
    </x:row>
    <x:row r="206" ht="21" customHeight="1">
      <x:c r="A206" s="8" t="n">
        <x:v>46277.8312037037</x:v>
      </x:c>
      <x:c r="B206" s="10" t="n">
        <x:v>1789232216</x:v>
      </x:c>
      <x:c r="C206" s="3" t="str">
        <x:v>production</x:v>
      </x:c>
      <x:c r="D206" s="3" t="str">
        <x:v>ACTIVE / MIXED</x:v>
      </x:c>
      <x:c r="E206" s="3" t="str">
        <x:v>Movement is sufficient, but market direction is divided.</x:v>
      </x:c>
      <x:c r="F206" s="10" t="n">
        <x:v>30</x:v>
      </x:c>
      <x:c r="G206" s="9" t="n">
        <x:v>20</x:v>
      </x:c>
      <x:c r="H206" s="9" t="n">
        <x:v>33.3</x:v>
      </x:c>
      <x:c r="I206" s="9" t="n">
        <x:v>66.7</x:v>
      </x:c>
      <x:c r="J206" s="9" t="n">
        <x:v>-0.58</x:v>
      </x:c>
      <x:c r="K206" s="9" t="n">
        <x:v>6.01</x:v>
      </x:c>
      <x:c r="L206" s="3" t="str">
        <x:v>Liquid non-stable USDT pairs: volume &gt;= 10M; up/down threshold +/-1.5%; active logarithmic range threshold 3.0%; quiet active breadth threshold 35%; median direction threshold +/-1.0%.</x:v>
      </x:c>
      <x:c r="M206" s="10" t="n">
        <x:v>861</x:v>
      </x:c>
      <x:c r="N206" s="3" t="str">
        <x:v>{"recorded_at": 1789232216, "environment": "production", "regime": "ACTIVE / MIXED", "expectation": "Movement is sufficient, but market direction is divided.", "sample_size": 30, "up_pct": 20.0, "down_pct": 33.3, "active_pct": 66.7, "median_change_pct": -0.58, "median_range_pct": 6.01, "formula": "Liquid non-stable USDT pairs: volume &gt;= 10M; up/down threshold +/-1.5%; active logarithmic range threshold 3.0%; quiet active breadth threshold 35%; median direction threshold +/-1.0%."}</x:v>
      </x:c>
    </x:row>
    <x:row r="207" ht="21" customHeight="1">
      <x:c r="A207" s="8" t="n">
        <x:v>46277.84174768518</x:v>
      </x:c>
      <x:c r="B207" s="10" t="n">
        <x:v>1789233127</x:v>
      </x:c>
      <x:c r="C207" s="3" t="str">
        <x:v>production</x:v>
      </x:c>
      <x:c r="D207" s="3" t="str">
        <x:v>ACTIVE / MIXED</x:v>
      </x:c>
      <x:c r="E207" s="3" t="str">
        <x:v>Movement is sufficient, but market direction is divided.</x:v>
      </x:c>
      <x:c r="F207" s="10" t="n">
        <x:v>30</x:v>
      </x:c>
      <x:c r="G207" s="9" t="n">
        <x:v>26.7</x:v>
      </x:c>
      <x:c r="H207" s="9" t="n">
        <x:v>33.3</x:v>
      </x:c>
      <x:c r="I207" s="9" t="n">
        <x:v>63.3</x:v>
      </x:c>
      <x:c r="J207" s="9" t="n">
        <x:v>-0.29</x:v>
      </x:c>
      <x:c r="K207" s="9" t="n">
        <x:v>6.01</x:v>
      </x:c>
      <x:c r="L207" s="3" t="str">
        <x:v>Liquid non-stable USDT pairs: volume &gt;= 10M; up/down threshold +/-1.5%; active logarithmic range threshold 3.0%; quiet active breadth threshold 35%; median direction threshold +/-1.0%.</x:v>
      </x:c>
      <x:c r="M207" s="10" t="n">
        <x:v>862</x:v>
      </x:c>
      <x:c r="N207" s="3" t="str">
        <x:v>{"recorded_at": 1789233127, "environment": "production", "regime": "ACTIVE / MIXED", "expectation": "Movement is sufficient, but market direction is divided.", "sample_size": 30, "up_pct": 26.7, "down_pct": 33.3, "active_pct": 63.3, "median_change_pct": -0.29, "median_range_pct": 6.01, "formula": "Liquid non-stable USDT pairs: volume &gt;= 10M; up/down threshold +/-1.5%; active logarithmic range threshold 3.0%; quiet active breadth threshold 35%; median direction threshold +/-1.0%."}</x:v>
      </x:c>
    </x:row>
    <x:row r="208" ht="21" customHeight="1">
      <x:c r="A208" s="8" t="n">
        <x:v>46277.85238425926</x:v>
      </x:c>
      <x:c r="B208" s="10" t="n">
        <x:v>1789234046</x:v>
      </x:c>
      <x:c r="C208" s="3" t="str">
        <x:v>production</x:v>
      </x:c>
      <x:c r="D208" s="3" t="str">
        <x:v>ACTIVE / MIXED</x:v>
      </x:c>
      <x:c r="E208" s="3" t="str">
        <x:v>Movement is sufficient, but market direction is divided.</x:v>
      </x:c>
      <x:c r="F208" s="10" t="n">
        <x:v>30</x:v>
      </x:c>
      <x:c r="G208" s="9" t="n">
        <x:v>23.3</x:v>
      </x:c>
      <x:c r="H208" s="9" t="n">
        <x:v>40</x:v>
      </x:c>
      <x:c r="I208" s="9" t="n">
        <x:v>63.3</x:v>
      </x:c>
      <x:c r="J208" s="9" t="n">
        <x:v>-0.57</x:v>
      </x:c>
      <x:c r="K208" s="9" t="n">
        <x:v>6.01</x:v>
      </x:c>
      <x:c r="L208" s="3" t="str">
        <x:v>Liquid non-stable USDT pairs: volume &gt;= 10M; up/down threshold +/-1.5%; active logarithmic range threshold 3.0%; quiet active breadth threshold 35%; median direction threshold +/-1.0%.</x:v>
      </x:c>
      <x:c r="M208" s="10" t="n">
        <x:v>863</x:v>
      </x:c>
      <x:c r="N208" s="3" t="str">
        <x:v>{"recorded_at": 1789234046, "environment": "production", "regime": "ACTIVE / MIXED", "expectation": "Movement is sufficient, but market direction is divided.", "sample_size": 30, "up_pct": 23.3, "down_pct": 40.0, "active_pct": 63.3, "median_change_pct": -0.57, "median_range_pct": 6.01, "formula": "Liquid non-stable USDT pairs: volume &gt;= 10M; up/down threshold +/-1.5%; active logarithmic range threshold 3.0%; quiet active breadth threshold 35%; median direction threshold +/-1.0%."}</x:v>
      </x:c>
    </x:row>
    <x:row r="209" ht="21" customHeight="1">
      <x:c r="A209" s="8" t="n">
        <x:v>46277.86306712963</x:v>
      </x:c>
      <x:c r="B209" s="10" t="n">
        <x:v>1789234969</x:v>
      </x:c>
      <x:c r="C209" s="3" t="str">
        <x:v>production</x:v>
      </x:c>
      <x:c r="D209" s="3" t="str">
        <x:v>ACTIVE / MIXED</x:v>
      </x:c>
      <x:c r="E209" s="3" t="str">
        <x:v>Movement is sufficient, but market direction is divided.</x:v>
      </x:c>
      <x:c r="F209" s="10" t="n">
        <x:v>30</x:v>
      </x:c>
      <x:c r="G209" s="9" t="n">
        <x:v>26.7</x:v>
      </x:c>
      <x:c r="H209" s="9" t="n">
        <x:v>30</x:v>
      </x:c>
      <x:c r="I209" s="9" t="n">
        <x:v>60</x:v>
      </x:c>
      <x:c r="J209" s="9" t="n">
        <x:v>-0.03</x:v>
      </x:c>
      <x:c r="K209" s="9" t="n">
        <x:v>5.73</x:v>
      </x:c>
      <x:c r="L209" s="3" t="str">
        <x:v>Liquid non-stable USDT pairs: volume &gt;= 10M; up/down threshold +/-1.5%; active logarithmic range threshold 3.0%; quiet active breadth threshold 35%; median direction threshold +/-1.0%.</x:v>
      </x:c>
      <x:c r="M209" s="10" t="n">
        <x:v>864</x:v>
      </x:c>
      <x:c r="N209" s="3" t="str">
        <x:v>{"recorded_at": 1789234969, "environment": "production", "regime": "ACTIVE / MIXED", "expectation": "Movement is sufficient, but market direction is divided.", "sample_size": 30, "up_pct": 26.7, "down_pct": 30.0, "active_pct": 60.0, "median_change_pct": -0.03, "median_range_pct": 5.73, "formula": "Liquid non-stable USDT pairs: volume &gt;= 10M; up/down threshold +/-1.5%; active logarithmic range threshold 3.0%; quiet active breadth threshold 35%; median direction threshold +/-1.0%."}</x:v>
      </x:c>
    </x:row>
    <x:row r="210" ht="21" customHeight="1">
      <x:c r="A210" s="8" t="n">
        <x:v>46277.873564814814</x:v>
      </x:c>
      <x:c r="B210" s="10" t="n">
        <x:v>1789235876</x:v>
      </x:c>
      <x:c r="C210" s="3" t="str">
        <x:v>production</x:v>
      </x:c>
      <x:c r="D210" s="3" t="str">
        <x:v>ACTIVE / MIXED</x:v>
      </x:c>
      <x:c r="E210" s="3" t="str">
        <x:v>Movement is sufficient, but market direction is divided.</x:v>
      </x:c>
      <x:c r="F210" s="10" t="n">
        <x:v>30</x:v>
      </x:c>
      <x:c r="G210" s="9" t="n">
        <x:v>26.7</x:v>
      </x:c>
      <x:c r="H210" s="9" t="n">
        <x:v>30</x:v>
      </x:c>
      <x:c r="I210" s="9" t="n">
        <x:v>60</x:v>
      </x:c>
      <x:c r="J210" s="9" t="n">
        <x:v>-0.05</x:v>
      </x:c>
      <x:c r="K210" s="9" t="n">
        <x:v>5.63</x:v>
      </x:c>
      <x:c r="L210" s="3" t="str">
        <x:v>Liquid non-stable USDT pairs: volume &gt;= 10M; up/down threshold +/-1.5%; active logarithmic range threshold 3.0%; quiet active breadth threshold 35%; median direction threshold +/-1.0%.</x:v>
      </x:c>
      <x:c r="M210" s="10" t="n">
        <x:v>865</x:v>
      </x:c>
      <x:c r="N210" s="3" t="str">
        <x:v>{"recorded_at": 1789235876, "environment": "production", "regime": "ACTIVE / MIXED", "expectation": "Movement is sufficient, but market direction is divided.", "sample_size": 30, "up_pct": 26.7, "down_pct": 30.0, "active_pct": 60.0, "median_change_pct": -0.05, "median_range_pct": 5.63, "formula": "Liquid non-stable USDT pairs: volume &gt;= 10M; up/down threshold +/-1.5%; active logarithmic range threshold 3.0%; quiet active breadth threshold 35%; median direction threshold +/-1.0%."}</x:v>
      </x:c>
    </x:row>
    <x:row r="211" ht="21" customHeight="1">
      <x:c r="A211" s="8" t="n">
        <x:v>46277.88417824074</x:v>
      </x:c>
      <x:c r="B211" s="10" t="n">
        <x:v>1789236793</x:v>
      </x:c>
      <x:c r="C211" s="3" t="str">
        <x:v>production</x:v>
      </x:c>
      <x:c r="D211" s="3" t="str">
        <x:v>ACTIVE / MIXED</x:v>
      </x:c>
      <x:c r="E211" s="3" t="str">
        <x:v>Movement is sufficient, but market direction is divided.</x:v>
      </x:c>
      <x:c r="F211" s="10" t="n">
        <x:v>28</x:v>
      </x:c>
      <x:c r="G211" s="9" t="n">
        <x:v>32.1</x:v>
      </x:c>
      <x:c r="H211" s="9" t="n">
        <x:v>17.9</x:v>
      </x:c>
      <x:c r="I211" s="9" t="n">
        <x:v>64.3</x:v>
      </x:c>
      <x:c r="J211" s="9" t="n">
        <x:v>0.84</x:v>
      </x:c>
      <x:c r="K211" s="9" t="n">
        <x:v>6.01</x:v>
      </x:c>
      <x:c r="L211" s="3" t="str">
        <x:v>Liquid non-stable USDT pairs: volume &gt;= 10M; up/down threshold +/-1.5%; active logarithmic range threshold 3.0%; quiet active breadth threshold 35%; median direction threshold +/-1.0%.</x:v>
      </x:c>
      <x:c r="M211" s="10" t="n">
        <x:v>866</x:v>
      </x:c>
      <x:c r="N211" s="3" t="str">
        <x:v>{"recorded_at": 1789236793, "environment": "production", "regime": "ACTIVE / MIXED", "expectation": "Movement is sufficient, but market direction is divided.", "sample_size": 28, "up_pct": 32.1, "down_pct": 17.9, "active_pct": 64.3, "median_change_pct": 0.84, "median_range_pct": 6.01, "formula": "Liquid non-stable USDT pairs: volume &gt;= 10M; up/down threshold +/-1.5%; active logarithmic range threshold 3.0%; quiet active breadth threshold 35%; median direction threshold +/-1.0%."}</x:v>
      </x:c>
    </x:row>
    <x:row r="212" ht="21" customHeight="1">
      <x:c r="A212" s="8" t="n">
        <x:v>46277.89474537037</x:v>
      </x:c>
      <x:c r="B212" s="10" t="n">
        <x:v>1789237706</x:v>
      </x:c>
      <x:c r="C212" s="3" t="str">
        <x:v>production</x:v>
      </x:c>
      <x:c r="D212" s="3" t="str">
        <x:v>ACTIVE / MIXED</x:v>
      </x:c>
      <x:c r="E212" s="3" t="str">
        <x:v>Movement is sufficient, but market direction is divided.</x:v>
      </x:c>
      <x:c r="F212" s="10" t="n">
        <x:v>28</x:v>
      </x:c>
      <x:c r="G212" s="9" t="n">
        <x:v>28.6</x:v>
      </x:c>
      <x:c r="H212" s="9" t="n">
        <x:v>14.3</x:v>
      </x:c>
      <x:c r="I212" s="9" t="n">
        <x:v>64.3</x:v>
      </x:c>
      <x:c r="J212" s="9" t="n">
        <x:v>0.55</x:v>
      </x:c>
      <x:c r="K212" s="9" t="n">
        <x:v>6.01</x:v>
      </x:c>
      <x:c r="L212" s="3" t="str">
        <x:v>Liquid non-stable USDT pairs: volume &gt;= 10M; up/down threshold +/-1.5%; active logarithmic range threshold 3.0%; quiet active breadth threshold 35%; median direction threshold +/-1.0%.</x:v>
      </x:c>
      <x:c r="M212" s="10" t="n">
        <x:v>867</x:v>
      </x:c>
      <x:c r="N212" s="3" t="str">
        <x:v>{"recorded_at": 1789237706, "environment": "production", "regime": "ACTIVE / MIXED", "expectation": "Movement is sufficient, but market direction is divided.", "sample_size": 28, "up_pct": 28.6, "down_pct": 14.3, "active_pct": 64.3, "median_change_pct": 0.55, "median_range_pct": 6.01, "formula": "Liquid non-stable USDT pairs: volume &gt;= 10M; up/down threshold +/-1.5%; active logarithmic range threshold 3.0%; quiet active breadth threshold 35%; median direction threshold +/-1.0%."}</x:v>
      </x:c>
    </x:row>
    <x:row r="213" ht="21" customHeight="1">
      <x:c r="A213" s="8" t="n">
        <x:v>46277.905335648145</x:v>
      </x:c>
      <x:c r="B213" s="10" t="n">
        <x:v>1789238621</x:v>
      </x:c>
      <x:c r="C213" s="3" t="str">
        <x:v>production</x:v>
      </x:c>
      <x:c r="D213" s="3" t="str">
        <x:v>ACTIVE / MIXED</x:v>
      </x:c>
      <x:c r="E213" s="3" t="str">
        <x:v>Movement is sufficient, but market direction is divided.</x:v>
      </x:c>
      <x:c r="F213" s="10" t="n">
        <x:v>28</x:v>
      </x:c>
      <x:c r="G213" s="9" t="n">
        <x:v>39.3</x:v>
      </x:c>
      <x:c r="H213" s="9" t="n">
        <x:v>14.3</x:v>
      </x:c>
      <x:c r="I213" s="9" t="n">
        <x:v>64.3</x:v>
      </x:c>
      <x:c r="J213" s="9" t="n">
        <x:v>0.68</x:v>
      </x:c>
      <x:c r="K213" s="9" t="n">
        <x:v>6.01</x:v>
      </x:c>
      <x:c r="L213" s="3" t="str">
        <x:v>Liquid non-stable USDT pairs: volume &gt;= 10M; up/down threshold +/-1.5%; active logarithmic range threshold 3.0%; quiet active breadth threshold 35%; median direction threshold +/-1.0%.</x:v>
      </x:c>
      <x:c r="M213" s="10" t="n">
        <x:v>868</x:v>
      </x:c>
      <x:c r="N213" s="3" t="str">
        <x:v>{"recorded_at": 1789238621, "environment": "production", "regime": "ACTIVE / MIXED", "expectation": "Movement is sufficient, but market direction is divided.", "sample_size": 28, "up_pct": 39.3, "down_pct": 14.3, "active_pct": 64.3, "median_change_pct": 0.68, "median_range_pct": 6.01, "formula": "Liquid non-stable USDT pairs: volume &gt;= 10M; up/down threshold +/-1.5%; active logarithmic range threshold 3.0%; quiet active breadth threshold 35%; median direction threshold +/-1.0%."}</x:v>
      </x:c>
    </x:row>
    <x:row r="214" ht="21" customHeight="1">
      <x:c r="A214" s="8" t="n">
        <x:v>46277.91606481482</x:v>
      </x:c>
      <x:c r="B214" s="10" t="n">
        <x:v>1789239548</x:v>
      </x:c>
      <x:c r="C214" s="3" t="str">
        <x:v>production</x:v>
      </x:c>
      <x:c r="D214" s="3" t="str">
        <x:v>ACTIVE / MIXED</x:v>
      </x:c>
      <x:c r="E214" s="3" t="str">
        <x:v>Movement is sufficient, but market direction is divided.</x:v>
      </x:c>
      <x:c r="F214" s="10" t="n">
        <x:v>27</x:v>
      </x:c>
      <x:c r="G214" s="9" t="n">
        <x:v>40.7</x:v>
      </x:c>
      <x:c r="H214" s="9" t="n">
        <x:v>14.8</x:v>
      </x:c>
      <x:c r="I214" s="9" t="n">
        <x:v>63</x:v>
      </x:c>
      <x:c r="J214" s="9" t="n">
        <x:v>0.93</x:v>
      </x:c>
      <x:c r="K214" s="9" t="n">
        <x:v>5.7</x:v>
      </x:c>
      <x:c r="L214" s="3" t="str">
        <x:v>Liquid non-stable USDT pairs: volume &gt;= 10M; up/down threshold +/-1.5%; active logarithmic range threshold 3.0%; quiet active breadth threshold 35%; median direction threshold +/-1.0%.</x:v>
      </x:c>
      <x:c r="M214" s="10" t="n">
        <x:v>869</x:v>
      </x:c>
      <x:c r="N214" s="3" t="str">
        <x:v>{"recorded_at": 1789239548, "environment": "production", "regime": "ACTIVE / MIXED", "expectation": "Movement is sufficient, but market direction is divided.", "sample_size": 27, "up_pct": 40.7, "down_pct": 14.8, "active_pct": 63.0, "median_change_pct": 0.93, "median_range_pct": 5.7, "formula": "Liquid non-stable USDT pairs: volume &gt;= 10M; up/down threshold +/-1.5%; active logarithmic range threshold 3.0%; quiet active breadth threshold 35%; median direction threshold +/-1.0%."}</x:v>
      </x:c>
    </x:row>
    <x:row r="215" ht="21" customHeight="1">
      <x:c r="A215" s="8" t="n">
        <x:v>46277.92668981481</x:v>
      </x:c>
      <x:c r="B215" s="10" t="n">
        <x:v>1789240466</x:v>
      </x:c>
      <x:c r="C215" s="3" t="str">
        <x:v>production</x:v>
      </x:c>
      <x:c r="D215" s="3" t="str">
        <x:v>ACTIVE / MIXED</x:v>
      </x:c>
      <x:c r="E215" s="3" t="str">
        <x:v>Movement is sufficient, but market direction is divided.</x:v>
      </x:c>
      <x:c r="F215" s="10" t="n">
        <x:v>26</x:v>
      </x:c>
      <x:c r="G215" s="9" t="n">
        <x:v>38.5</x:v>
      </x:c>
      <x:c r="H215" s="9" t="n">
        <x:v>11.5</x:v>
      </x:c>
      <x:c r="I215" s="9" t="n">
        <x:v>61.5</x:v>
      </x:c>
      <x:c r="J215" s="9" t="n">
        <x:v>0.96</x:v>
      </x:c>
      <x:c r="K215" s="9" t="n">
        <x:v>5.86</x:v>
      </x:c>
      <x:c r="L215" s="3" t="str">
        <x:v>Liquid non-stable USDT pairs: volume &gt;= 10M; up/down threshold +/-1.5%; active logarithmic range threshold 3.0%; quiet active breadth threshold 35%; median direction threshold +/-1.0%.</x:v>
      </x:c>
      <x:c r="M215" s="10" t="n">
        <x:v>870</x:v>
      </x:c>
      <x:c r="N215" s="3" t="str">
        <x:v>{"recorded_at": 1789240466, "environment": "production", "regime": "ACTIVE / MIXED", "expectation": "Movement is sufficient, but market direction is divided.", "sample_size": 26, "up_pct": 38.5, "down_pct": 11.5, "active_pct": 61.5, "median_change_pct": 0.96, "median_range_pct": 5.86, "formula": "Liquid non-stable USDT pairs: volume &gt;= 10M; up/down threshold +/-1.5%; active logarithmic range threshold 3.0%; quiet active breadth threshold 35%; median direction threshold +/-1.0%."}</x:v>
      </x:c>
    </x:row>
    <x:row r="216" ht="21" customHeight="1">
      <x:c r="A216" s="8" t="n">
        <x:v>46277.93751157408</x:v>
      </x:c>
      <x:c r="B216" s="10" t="n">
        <x:v>1789241401</x:v>
      </x:c>
      <x:c r="C216" s="3" t="str">
        <x:v>production</x:v>
      </x:c>
      <x:c r="D216" s="3" t="str">
        <x:v>ACTIVE / MIXED</x:v>
      </x:c>
      <x:c r="E216" s="3" t="str">
        <x:v>Movement is sufficient, but market direction is divided.</x:v>
      </x:c>
      <x:c r="F216" s="10" t="n">
        <x:v>26</x:v>
      </x:c>
      <x:c r="G216" s="9" t="n">
        <x:v>38.5</x:v>
      </x:c>
      <x:c r="H216" s="9" t="n">
        <x:v>15.4</x:v>
      </x:c>
      <x:c r="I216" s="9" t="n">
        <x:v>61.5</x:v>
      </x:c>
      <x:c r="J216" s="9" t="n">
        <x:v>0.55</x:v>
      </x:c>
      <x:c r="K216" s="9" t="n">
        <x:v>5.86</x:v>
      </x:c>
      <x:c r="L216" s="3" t="str">
        <x:v>Liquid non-stable USDT pairs: volume &gt;= 10M; up/down threshold +/-1.5%; active logarithmic range threshold 3.0%; quiet active breadth threshold 35%; median direction threshold +/-1.0%.</x:v>
      </x:c>
      <x:c r="M216" s="10" t="n">
        <x:v>871</x:v>
      </x:c>
      <x:c r="N216" s="3" t="str">
        <x:v>{"recorded_at": 1789241401, "environment": "production", "regime": "ACTIVE / MIXED", "expectation": "Movement is sufficient, but market direction is divided.", "sample_size": 26, "up_pct": 38.5, "down_pct": 15.4, "active_pct": 61.5, "median_change_pct": 0.55, "median_range_pct": 5.86, "formula": "Liquid non-stable USDT pairs: volume &gt;= 10M; up/down threshold +/-1.5%; active logarithmic range threshold 3.0%; quiet active breadth threshold 35%; median direction threshold +/-1.0%."}</x:v>
      </x:c>
    </x:row>
    <x:row r="217" ht="21" customHeight="1">
      <x:c r="A217" s="8" t="n">
        <x:v>46277.948113425926</x:v>
      </x:c>
      <x:c r="B217" s="10" t="n">
        <x:v>1789242317</x:v>
      </x:c>
      <x:c r="C217" s="3" t="str">
        <x:v>production</x:v>
      </x:c>
      <x:c r="D217" s="3" t="str">
        <x:v>ACTIVE / MIXED</x:v>
      </x:c>
      <x:c r="E217" s="3" t="str">
        <x:v>Movement is sufficient, but market direction is divided.</x:v>
      </x:c>
      <x:c r="F217" s="10" t="n">
        <x:v>27</x:v>
      </x:c>
      <x:c r="G217" s="9" t="n">
        <x:v>37</x:v>
      </x:c>
      <x:c r="H217" s="9" t="n">
        <x:v>18.5</x:v>
      </x:c>
      <x:c r="I217" s="9" t="n">
        <x:v>63</x:v>
      </x:c>
      <x:c r="J217" s="9" t="n">
        <x:v>0.3</x:v>
      </x:c>
      <x:c r="K217" s="9" t="n">
        <x:v>6.34</x:v>
      </x:c>
      <x:c r="L217" s="3" t="str">
        <x:v>Liquid non-stable USDT pairs: volume &gt;= 10M; up/down threshold +/-1.5%; active logarithmic range threshold 3.0%; quiet active breadth threshold 35%; median direction threshold +/-1.0%.</x:v>
      </x:c>
      <x:c r="M217" s="10" t="n">
        <x:v>872</x:v>
      </x:c>
      <x:c r="N217" s="3" t="str">
        <x:v>{"recorded_at": 1789242317, "environment": "production", "regime": "ACTIVE / MIXED", "expectation": "Movement is sufficient, but market direction is divided.", "sample_size": 27, "up_pct": 37.0, "down_pct": 18.5, "active_pct": 63.0, "median_change_pct": 0.3, "median_range_pct": 6.34, "formula": "Liquid non-stable USDT pairs: volume &gt;= 10M; up/down threshold +/-1.5%; active logarithmic range threshold 3.0%; quiet active breadth threshold 35%; median direction threshold +/-1.0%."}</x:v>
      </x:c>
    </x:row>
    <x:row r="218" ht="21" customHeight="1">
      <x:c r="A218" s="8" t="n">
        <x:v>46277.95893518518</x:v>
      </x:c>
      <x:c r="B218" s="10" t="n">
        <x:v>1789243252</x:v>
      </x:c>
      <x:c r="C218" s="3" t="str">
        <x:v>production</x:v>
      </x:c>
      <x:c r="D218" s="3" t="str">
        <x:v>ACTIVE / MIXED</x:v>
      </x:c>
      <x:c r="E218" s="3" t="str">
        <x:v>Movement is sufficient, but market direction is divided.</x:v>
      </x:c>
      <x:c r="F218" s="10" t="n">
        <x:v>27</x:v>
      </x:c>
      <x:c r="G218" s="9" t="n">
        <x:v>37</x:v>
      </x:c>
      <x:c r="H218" s="9" t="n">
        <x:v>18.5</x:v>
      </x:c>
      <x:c r="I218" s="9" t="n">
        <x:v>63</x:v>
      </x:c>
      <x:c r="J218" s="9" t="n">
        <x:v>0.13</x:v>
      </x:c>
      <x:c r="K218" s="9" t="n">
        <x:v>6.34</x:v>
      </x:c>
      <x:c r="L218" s="3" t="str">
        <x:v>Liquid non-stable USDT pairs: volume &gt;= 10M; up/down threshold +/-1.5%; active logarithmic range threshold 3.0%; quiet active breadth threshold 35%; median direction threshold +/-1.0%.</x:v>
      </x:c>
      <x:c r="M218" s="10" t="n">
        <x:v>873</x:v>
      </x:c>
      <x:c r="N218" s="3" t="str">
        <x:v>{"recorded_at": 1789243252, "environment": "production", "regime": "ACTIVE / MIXED", "expectation": "Movement is sufficient, but market direction is divided.", "sample_size": 27, "up_pct": 37.0, "down_pct": 18.5, "active_pct": 63.0, "median_change_pct": 0.13, "median_range_pct": 6.34, "formula": "Liquid non-stable USDT pairs: volume &gt;= 10M; up/down threshold +/-1.5%; active logarithmic range threshold 3.0%; quiet active breadth threshold 35%; median direction threshold +/-1.0%."}</x:v>
      </x:c>
    </x:row>
    <x:row r="219" ht="21" customHeight="1">
      <x:c r="A219" s="8" t="n">
        <x:v>46277.97016203704</x:v>
      </x:c>
      <x:c r="B219" s="10" t="n">
        <x:v>1789244222</x:v>
      </x:c>
      <x:c r="C219" s="3" t="str">
        <x:v>production</x:v>
      </x:c>
      <x:c r="D219" s="3" t="str">
        <x:v>ACTIVE / MIXED</x:v>
      </x:c>
      <x:c r="E219" s="3" t="str">
        <x:v>Movement is sufficient, but market direction is divided.</x:v>
      </x:c>
      <x:c r="F219" s="10" t="n">
        <x:v>27</x:v>
      </x:c>
      <x:c r="G219" s="9" t="n">
        <x:v>33.3</x:v>
      </x:c>
      <x:c r="H219" s="9" t="n">
        <x:v>18.5</x:v>
      </x:c>
      <x:c r="I219" s="9" t="n">
        <x:v>63</x:v>
      </x:c>
      <x:c r="J219" s="9" t="n">
        <x:v>0.07</x:v>
      </x:c>
      <x:c r="K219" s="9" t="n">
        <x:v>6.34</x:v>
      </x:c>
      <x:c r="L219" s="3" t="str">
        <x:v>Liquid non-stable USDT pairs: volume &gt;= 10M; up/down threshold +/-1.5%; active logarithmic range threshold 3.0%; quiet active breadth threshold 35%; median direction threshold +/-1.0%.</x:v>
      </x:c>
      <x:c r="M219" s="10" t="n">
        <x:v>874</x:v>
      </x:c>
      <x:c r="N219" s="3" t="str">
        <x:v>{"recorded_at": 1789244222, "environment": "production", "regime": "ACTIVE / MIXED", "expectation": "Movement is sufficient, but market direction is divided.", "sample_size": 27, "up_pct": 33.3, "down_pct": 18.5, "active_pct": 63.0, "median_change_pct": 0.07, "median_range_pct": 6.34, "formula": "Liquid non-stable USDT pairs: volume &gt;= 10M; up/down threshold +/-1.5%; active logarithmic range threshold 3.0%; quiet active breadth threshold 35%; median direction threshold +/-1.0%."}</x:v>
      </x:c>
    </x:row>
    <x:row r="220" ht="21" customHeight="1">
      <x:c r="A220" s="8" t="n">
        <x:v>46277.98100694444</x:v>
      </x:c>
      <x:c r="B220" s="10" t="n">
        <x:v>1789245159</x:v>
      </x:c>
      <x:c r="C220" s="3" t="str">
        <x:v>production</x:v>
      </x:c>
      <x:c r="D220" s="3" t="str">
        <x:v>ACTIVE / MIXED</x:v>
      </x:c>
      <x:c r="E220" s="3" t="str">
        <x:v>Movement is sufficient, but market direction is divided.</x:v>
      </x:c>
      <x:c r="F220" s="10" t="n">
        <x:v>27</x:v>
      </x:c>
      <x:c r="G220" s="9" t="n">
        <x:v>33.3</x:v>
      </x:c>
      <x:c r="H220" s="9" t="n">
        <x:v>14.8</x:v>
      </x:c>
      <x:c r="I220" s="9" t="n">
        <x:v>63</x:v>
      </x:c>
      <x:c r="J220" s="9" t="n">
        <x:v>0.64</x:v>
      </x:c>
      <x:c r="K220" s="9" t="n">
        <x:v>6.34</x:v>
      </x:c>
      <x:c r="L220" s="3" t="str">
        <x:v>Liquid non-stable USDT pairs: volume &gt;= 10M; up/down threshold +/-1.5%; active logarithmic range threshold 3.0%; quiet active breadth threshold 35%; median direction threshold +/-1.0%.</x:v>
      </x:c>
      <x:c r="M220" s="10" t="n">
        <x:v>875</x:v>
      </x:c>
      <x:c r="N220" s="3" t="str">
        <x:v>{"recorded_at": 1789245159, "environment": "production", "regime": "ACTIVE / MIXED", "expectation": "Movement is sufficient, but market direction is divided.", "sample_size": 27, "up_pct": 33.3, "down_pct": 14.8, "active_pct": 63.0, "median_change_pct": 0.64, "median_range_pct": 6.34, "formula": "Liquid non-stable USDT pairs: volume &gt;= 10M; up/down threshold +/-1.5%; active logarithmic range threshold 3.0%; quiet active breadth threshold 35%; median direction threshold +/-1.0%."}</x:v>
      </x:c>
    </x:row>
    <x:row r="221" ht="21" customHeight="1">
      <x:c r="A221" s="8" t="n">
        <x:v>46277.99184027778</x:v>
      </x:c>
      <x:c r="B221" s="10" t="n">
        <x:v>1789246095</x:v>
      </x:c>
      <x:c r="C221" s="3" t="str">
        <x:v>production</x:v>
      </x:c>
      <x:c r="D221" s="3" t="str">
        <x:v>ACTIVE / MIXED</x:v>
      </x:c>
      <x:c r="E221" s="3" t="str">
        <x:v>Movement is sufficient, but market direction is divided.</x:v>
      </x:c>
      <x:c r="F221" s="10" t="n">
        <x:v>27</x:v>
      </x:c>
      <x:c r="G221" s="9" t="n">
        <x:v>33.3</x:v>
      </x:c>
      <x:c r="H221" s="9" t="n">
        <x:v>14.8</x:v>
      </x:c>
      <x:c r="I221" s="9" t="n">
        <x:v>63</x:v>
      </x:c>
      <x:c r="J221" s="9" t="n">
        <x:v>0.45</x:v>
      </x:c>
      <x:c r="K221" s="9" t="n">
        <x:v>6.34</x:v>
      </x:c>
      <x:c r="L221" s="3" t="str">
        <x:v>Liquid non-stable USDT pairs: volume &gt;= 10M; up/down threshold +/-1.5%; active logarithmic range threshold 3.0%; quiet active breadth threshold 35%; median direction threshold +/-1.0%.</x:v>
      </x:c>
      <x:c r="M221" s="10" t="n">
        <x:v>876</x:v>
      </x:c>
      <x:c r="N221" s="3" t="str">
        <x:v>{"recorded_at": 1789246095, "environment": "production", "regime": "ACTIVE / MIXED", "expectation": "Movement is sufficient, but market direction is divided.", "sample_size": 27, "up_pct": 33.3, "down_pct": 14.8, "active_pct": 63.0, "median_change_pct": 0.45, "median_range_pct": 6.34, "formula": "Liquid non-stable USDT pairs: volume &gt;= 10M; up/down threshold +/-1.5%; active logarithmic range threshold 3.0%; quiet active breadth threshold 35%; median direction threshold +/-1.0%."}</x:v>
      </x:c>
    </x:row>
    <x:row r="222" ht="21" customHeight="1">
      <x:c r="A222" s="8" t="n">
        <x:v>46278.00261574074</x:v>
      </x:c>
      <x:c r="B222" s="10" t="n">
        <x:v>1789247026</x:v>
      </x:c>
      <x:c r="C222" s="3" t="str">
        <x:v>production</x:v>
      </x:c>
      <x:c r="D222" s="3" t="str">
        <x:v>ACTIVE / MIXED</x:v>
      </x:c>
      <x:c r="E222" s="3" t="str">
        <x:v>Movement is sufficient, but market direction is divided.</x:v>
      </x:c>
      <x:c r="F222" s="10" t="n">
        <x:v>26</x:v>
      </x:c>
      <x:c r="G222" s="9" t="n">
        <x:v>38.5</x:v>
      </x:c>
      <x:c r="H222" s="9" t="n">
        <x:v>15.4</x:v>
      </x:c>
      <x:c r="I222" s="9" t="n">
        <x:v>61.5</x:v>
      </x:c>
      <x:c r="J222" s="9" t="n">
        <x:v>0.5</x:v>
      </x:c>
      <x:c r="K222" s="9" t="n">
        <x:v>6.1</x:v>
      </x:c>
      <x:c r="L222" s="3" t="str">
        <x:v>Liquid non-stable USDT pairs: volume &gt;= 10M; up/down threshold +/-1.5%; active logarithmic range threshold 3.0%; quiet active breadth threshold 35%; median direction threshold +/-1.0%.</x:v>
      </x:c>
      <x:c r="M222" s="10" t="n">
        <x:v>877</x:v>
      </x:c>
      <x:c r="N222" s="3" t="str">
        <x:v>{"recorded_at": 1789247026, "environment": "production", "regime": "ACTIVE / MIXED", "expectation": "Movement is sufficient, but market direction is divided.", "sample_size": 26, "up_pct": 38.5, "down_pct": 15.4, "active_pct": 61.5, "median_change_pct": 0.5, "median_range_pct": 6.1, "formula": "Liquid non-stable USDT pairs: volume &gt;= 10M; up/down threshold +/-1.5%; active logarithmic range threshold 3.0%; quiet active breadth threshold 35%; median direction threshold +/-1.0%."}</x:v>
      </x:c>
    </x:row>
    <x:row r="223" ht="21" customHeight="1">
      <x:c r="A223" s="8" t="n">
        <x:v>46278.013078703705</x:v>
      </x:c>
      <x:c r="B223" s="10" t="n">
        <x:v>1789247930</x:v>
      </x:c>
      <x:c r="C223" s="3" t="str">
        <x:v>production</x:v>
      </x:c>
      <x:c r="D223" s="3" t="str">
        <x:v>ACTIVE / MIXED</x:v>
      </x:c>
      <x:c r="E223" s="3" t="str">
        <x:v>Movement is sufficient, but market direction is divided.</x:v>
      </x:c>
      <x:c r="F223" s="10" t="n">
        <x:v>26</x:v>
      </x:c>
      <x:c r="G223" s="9" t="n">
        <x:v>34.6</x:v>
      </x:c>
      <x:c r="H223" s="9" t="n">
        <x:v>15.4</x:v>
      </x:c>
      <x:c r="I223" s="9" t="n">
        <x:v>61.5</x:v>
      </x:c>
      <x:c r="J223" s="9" t="n">
        <x:v>0.01</x:v>
      </x:c>
      <x:c r="K223" s="9" t="n">
        <x:v>6.04</x:v>
      </x:c>
      <x:c r="L223" s="3" t="str">
        <x:v>Liquid non-stable USDT pairs: volume &gt;= 10M; up/down threshold +/-1.5%; active logarithmic range threshold 3.0%; quiet active breadth threshold 35%; median direction threshold +/-1.0%.</x:v>
      </x:c>
      <x:c r="M223" s="10" t="n">
        <x:v>878</x:v>
      </x:c>
      <x:c r="N223" s="3" t="str">
        <x:v>{"recorded_at": 1789247930, "environment": "production", "regime": "ACTIVE / MIXED", "expectation": "Movement is sufficient, but market direction is divided.", "sample_size": 26, "up_pct": 34.6, "down_pct": 15.4, "active_pct": 61.5, "median_change_pct": 0.01, "median_range_pct": 6.04, "formula": "Liquid non-stable USDT pairs: volume &gt;= 10M; up/down threshold +/-1.5%; active logarithmic range threshold 3.0%; quiet active breadth threshold 35%; median direction threshold +/-1.0%."}</x:v>
      </x:c>
    </x:row>
    <x:row r="224" ht="21" customHeight="1">
      <x:c r="A224" s="8" t="n">
        <x:v>46278.02359953704</x:v>
      </x:c>
      <x:c r="B224" s="10" t="n">
        <x:v>1789248839</x:v>
      </x:c>
      <x:c r="C224" s="3" t="str">
        <x:v>production</x:v>
      </x:c>
      <x:c r="D224" s="3" t="str">
        <x:v>ACTIVE / MIXED</x:v>
      </x:c>
      <x:c r="E224" s="3" t="str">
        <x:v>Movement is sufficient, but market direction is divided.</x:v>
      </x:c>
      <x:c r="F224" s="10" t="n">
        <x:v>26</x:v>
      </x:c>
      <x:c r="G224" s="9" t="n">
        <x:v>38.5</x:v>
      </x:c>
      <x:c r="H224" s="9" t="n">
        <x:v>15.4</x:v>
      </x:c>
      <x:c r="I224" s="9" t="n">
        <x:v>61.5</x:v>
      </x:c>
      <x:c r="J224" s="9" t="n">
        <x:v>0.23</x:v>
      </x:c>
      <x:c r="K224" s="9" t="n">
        <x:v>5.65</x:v>
      </x:c>
      <x:c r="L224" s="3" t="str">
        <x:v>Liquid non-stable USDT pairs: volume &gt;= 10M; up/down threshold +/-1.5%; active logarithmic range threshold 3.0%; quiet active breadth threshold 35%; median direction threshold +/-1.0%.</x:v>
      </x:c>
      <x:c r="M224" s="10" t="n">
        <x:v>879</x:v>
      </x:c>
      <x:c r="N224" s="3" t="str">
        <x:v>{"recorded_at": 1789248839, "environment": "production", "regime": "ACTIVE / MIXED", "expectation": "Movement is sufficient, but market direction is divided.", "sample_size": 26, "up_pct": 38.5, "down_pct": 15.4, "active_pct": 61.5, "median_change_pct": 0.23, "median_range_pct": 5.65, "formula": "Liquid non-stable USDT pairs: volume &gt;= 10M; up/down threshold +/-1.5%; active logarithmic range threshold 3.0%; quiet active breadth threshold 35%; median direction threshold +/-1.0%."}</x:v>
      </x:c>
    </x:row>
    <x:row r="225" ht="21" customHeight="1">
      <x:c r="A225" s="8" t="n">
        <x:v>46278.03402777778</x:v>
      </x:c>
      <x:c r="B225" s="10" t="n">
        <x:v>1789249740</x:v>
      </x:c>
      <x:c r="C225" s="3" t="str">
        <x:v>production</x:v>
      </x:c>
      <x:c r="D225" s="3" t="str">
        <x:v>ACTIVE / MIXED</x:v>
      </x:c>
      <x:c r="E225" s="3" t="str">
        <x:v>Movement is sufficient, but market direction is divided.</x:v>
      </x:c>
      <x:c r="F225" s="10" t="n">
        <x:v>26</x:v>
      </x:c>
      <x:c r="G225" s="9" t="n">
        <x:v>38.5</x:v>
      </x:c>
      <x:c r="H225" s="9" t="n">
        <x:v>11.5</x:v>
      </x:c>
      <x:c r="I225" s="9" t="n">
        <x:v>61.5</x:v>
      </x:c>
      <x:c r="J225" s="9" t="n">
        <x:v>0.51</x:v>
      </x:c>
      <x:c r="K225" s="9" t="n">
        <x:v>5.27</x:v>
      </x:c>
      <x:c r="L225" s="3" t="str">
        <x:v>Liquid non-stable USDT pairs: volume &gt;= 10M; up/down threshold +/-1.5%; active logarithmic range threshold 3.0%; quiet active breadth threshold 35%; median direction threshold +/-1.0%.</x:v>
      </x:c>
      <x:c r="M225" s="10" t="n">
        <x:v>880</x:v>
      </x:c>
      <x:c r="N225" s="3" t="str">
        <x:v>{"recorded_at": 1789249740, "environment": "production", "regime": "ACTIVE / MIXED", "expectation": "Movement is sufficient, but market direction is divided.", "sample_size": 26, "up_pct": 38.5, "down_pct": 11.5, "active_pct": 61.5, "median_change_pct": 0.51, "median_range_pct": 5.27, "formula": "Liquid non-stable USDT pairs: volume &gt;= 10M; up/down threshold +/-1.5%; active logarithmic range threshold 3.0%; quiet active breadth threshold 35%; median direction threshold +/-1.0%."}</x:v>
      </x:c>
    </x:row>
    <x:row r="226" ht="21" customHeight="1">
      <x:c r="A226" s="8" t="n">
        <x:v>46278.04481481481</x:v>
      </x:c>
      <x:c r="B226" s="10" t="n">
        <x:v>1789250672</x:v>
      </x:c>
      <x:c r="C226" s="3" t="str">
        <x:v>production</x:v>
      </x:c>
      <x:c r="D226" s="3" t="str">
        <x:v>ACTIVE / MIXED</x:v>
      </x:c>
      <x:c r="E226" s="3" t="str">
        <x:v>Movement is sufficient, but market direction is divided.</x:v>
      </x:c>
      <x:c r="F226" s="10" t="n">
        <x:v>26</x:v>
      </x:c>
      <x:c r="G226" s="9" t="n">
        <x:v>38.5</x:v>
      </x:c>
      <x:c r="H226" s="9" t="n">
        <x:v>11.5</x:v>
      </x:c>
      <x:c r="I226" s="9" t="n">
        <x:v>61.5</x:v>
      </x:c>
      <x:c r="J226" s="9" t="n">
        <x:v>0.62</x:v>
      </x:c>
      <x:c r="K226" s="9" t="n">
        <x:v>5.07</x:v>
      </x:c>
      <x:c r="L226" s="3" t="str">
        <x:v>Liquid non-stable USDT pairs: volume &gt;= 10M; up/down threshold +/-1.5%; active logarithmic range threshold 3.0%; quiet active breadth threshold 35%; median direction threshold +/-1.0%.</x:v>
      </x:c>
      <x:c r="M226" s="10" t="n">
        <x:v>881</x:v>
      </x:c>
      <x:c r="N226" s="3" t="str">
        <x:v>{"recorded_at": 1789250672, "environment": "production", "regime": "ACTIVE / MIXED", "expectation": "Movement is sufficient, but market direction is divided.", "sample_size": 26, "up_pct": 38.5, "down_pct": 11.5, "active_pct": 61.5, "median_change_pct": 0.62, "median_range_pct": 5.07, "formula": "Liquid non-stable USDT pairs: volume &gt;= 10M; up/down threshold +/-1.5%; active logarithmic range threshold 3.0%; quiet active breadth threshold 35%; median direction threshold +/-1.0%."}</x:v>
      </x:c>
    </x:row>
    <x:row r="227" ht="21" customHeight="1">
      <x:c r="A227" s="8" t="n">
        <x:v>46278.0553125</x:v>
      </x:c>
      <x:c r="B227" s="10" t="n">
        <x:v>1789251579</x:v>
      </x:c>
      <x:c r="C227" s="3" t="str">
        <x:v>production</x:v>
      </x:c>
      <x:c r="D227" s="3" t="str">
        <x:v>ACTIVE / MIXED</x:v>
      </x:c>
      <x:c r="E227" s="3" t="str">
        <x:v>Movement is sufficient, but market direction is divided.</x:v>
      </x:c>
      <x:c r="F227" s="10" t="n">
        <x:v>27</x:v>
      </x:c>
      <x:c r="G227" s="9" t="n">
        <x:v>48.1</x:v>
      </x:c>
      <x:c r="H227" s="9" t="n">
        <x:v>11.1</x:v>
      </x:c>
      <x:c r="I227" s="9" t="n">
        <x:v>63</x:v>
      </x:c>
      <x:c r="J227" s="9" t="n">
        <x:v>0.83</x:v>
      </x:c>
      <x:c r="K227" s="9" t="n">
        <x:v>4.25</x:v>
      </x:c>
      <x:c r="L227" s="3" t="str">
        <x:v>Liquid non-stable USDT pairs: volume &gt;= 10M; up/down threshold +/-1.5%; active logarithmic range threshold 3.0%; quiet active breadth threshold 35%; median direction threshold +/-1.0%.</x:v>
      </x:c>
      <x:c r="M227" s="10" t="n">
        <x:v>882</x:v>
      </x:c>
      <x:c r="N227" s="3" t="str">
        <x:v>{"recorded_at": 1789251579, "environment": "production", "regime": "ACTIVE / MIXED", "expectation": "Movement is sufficient, but market direction is divided.", "sample_size": 27, "up_pct": 48.1, "down_pct": 11.1, "active_pct": 63.0, "median_change_pct": 0.83, "median_range_pct": 4.25, "formula": "Liquid non-stable USDT pairs: volume &gt;= 10M; up/down threshold +/-1.5%; active logarithmic range threshold 3.0%; quiet active breadth threshold 35%; median direction threshold +/-1.0%."}</x:v>
      </x:c>
    </x:row>
    <x:row r="228" ht="21" customHeight="1">
      <x:c r="A228" s="8" t="n">
        <x:v>46278.0658912037</x:v>
      </x:c>
      <x:c r="B228" s="10" t="n">
        <x:v>1789252493</x:v>
      </x:c>
      <x:c r="C228" s="3" t="str">
        <x:v>production</x:v>
      </x:c>
      <x:c r="D228" s="3" t="str">
        <x:v>ACTIVE / POSITIVE</x:v>
      </x:c>
      <x:c r="E228" s="3" t="str">
        <x:v>Broad momentum is positive; still require entry confirmation.</x:v>
      </x:c>
      <x:c r="F228" s="10" t="n">
        <x:v>27</x:v>
      </x:c>
      <x:c r="G228" s="9" t="n">
        <x:v>48.1</x:v>
      </x:c>
      <x:c r="H228" s="9" t="n">
        <x:v>11.1</x:v>
      </x:c>
      <x:c r="I228" s="9" t="n">
        <x:v>63</x:v>
      </x:c>
      <x:c r="J228" s="9" t="n">
        <x:v>1.08</x:v>
      </x:c>
      <x:c r="K228" s="9" t="n">
        <x:v>4.21</x:v>
      </x:c>
      <x:c r="L228" s="3" t="str">
        <x:v>Liquid non-stable USDT pairs: volume &gt;= 10M; up/down threshold +/-1.5%; active logarithmic range threshold 3.0%; quiet active breadth threshold 35%; median direction threshold +/-1.0%.</x:v>
      </x:c>
      <x:c r="M228" s="10" t="n">
        <x:v>883</x:v>
      </x:c>
      <x:c r="N228" s="3" t="str">
        <x:v>{"recorded_at": 1789252493, "environment": "production", "regime": "ACTIVE / POSITIVE", "expectation": "Broad momentum is positive; still require entry confirmation.", "sample_size": 27, "up_pct": 48.1, "down_pct": 11.1, "active_pct": 63.0, "median_change_pct": 1.08, "median_range_pct": 4.21, "formula": "Liquid non-stable USDT pairs: volume &gt;= 10M; up/down threshold +/-1.5%; active logarithmic range threshold 3.0%; quiet active breadth threshold 35%; median direction threshold +/-1.0%."}</x:v>
      </x:c>
    </x:row>
    <x:row r="229" ht="21" customHeight="1">
      <x:c r="A229" s="8" t="n">
        <x:v>46278.07642361111</x:v>
      </x:c>
      <x:c r="B229" s="10" t="n">
        <x:v>1789253403</x:v>
      </x:c>
      <x:c r="C229" s="3" t="str">
        <x:v>production</x:v>
      </x:c>
      <x:c r="D229" s="3" t="str">
        <x:v>ACTIVE / POSITIVE</x:v>
      </x:c>
      <x:c r="E229" s="3" t="str">
        <x:v>Broad momentum is positive; still require entry confirmation.</x:v>
      </x:c>
      <x:c r="F229" s="10" t="n">
        <x:v>27</x:v>
      </x:c>
      <x:c r="G229" s="9" t="n">
        <x:v>48.1</x:v>
      </x:c>
      <x:c r="H229" s="9" t="n">
        <x:v>11.1</x:v>
      </x:c>
      <x:c r="I229" s="9" t="n">
        <x:v>63</x:v>
      </x:c>
      <x:c r="J229" s="9" t="n">
        <x:v>1.18</x:v>
      </x:c>
      <x:c r="K229" s="9" t="n">
        <x:v>4.21</x:v>
      </x:c>
      <x:c r="L229" s="3" t="str">
        <x:v>Liquid non-stable USDT pairs: volume &gt;= 10M; up/down threshold +/-1.5%; active logarithmic range threshold 3.0%; quiet active breadth threshold 35%; median direction threshold +/-1.0%.</x:v>
      </x:c>
      <x:c r="M229" s="10" t="n">
        <x:v>884</x:v>
      </x:c>
      <x:c r="N229" s="3" t="str">
        <x:v>{"recorded_at": 1789253403, "environment": "production", "regime": "ACTIVE / POSITIVE", "expectation": "Broad momentum is positive; still require entry confirmation.", "sample_size": 27, "up_pct": 48.1, "down_pct": 11.1, "active_pct": 63.0, "median_change_pct": 1.18, "median_range_pct": 4.21, "formula": "Liquid non-stable USDT pairs: volume &gt;= 10M; up/down threshold +/-1.5%; active logarithmic range threshold 3.0%; quiet active breadth threshold 35%; median direction threshold +/-1.0%."}</x:v>
      </x:c>
    </x:row>
    <x:row r="230" ht="21" customHeight="1">
      <x:c r="A230" s="8" t="n">
        <x:v>46278.08695601852</x:v>
      </x:c>
      <x:c r="B230" s="10" t="n">
        <x:v>1789254313</x:v>
      </x:c>
      <x:c r="C230" s="3" t="str">
        <x:v>production</x:v>
      </x:c>
      <x:c r="D230" s="3" t="str">
        <x:v>ACTIVE / MIXED</x:v>
      </x:c>
      <x:c r="E230" s="3" t="str">
        <x:v>Movement is sufficient, but market direction is divided.</x:v>
      </x:c>
      <x:c r="F230" s="10" t="n">
        <x:v>26</x:v>
      </x:c>
      <x:c r="G230" s="9" t="n">
        <x:v>46.2</x:v>
      </x:c>
      <x:c r="H230" s="9" t="n">
        <x:v>11.5</x:v>
      </x:c>
      <x:c r="I230" s="9" t="n">
        <x:v>65.4</x:v>
      </x:c>
      <x:c r="J230" s="9" t="n">
        <x:v>0.78</x:v>
      </x:c>
      <x:c r="K230" s="9" t="n">
        <x:v>4.55</x:v>
      </x:c>
      <x:c r="L230" s="3" t="str">
        <x:v>Liquid non-stable USDT pairs: volume &gt;= 10M; up/down threshold +/-1.5%; active logarithmic range threshold 3.0%; quiet active breadth threshold 35%; median direction threshold +/-1.0%.</x:v>
      </x:c>
      <x:c r="M230" s="10" t="n">
        <x:v>885</x:v>
      </x:c>
      <x:c r="N230" s="3" t="str">
        <x:v>{"recorded_at": 1789254313, "environment": "production", "regime": "ACTIVE / MIXED", "expectation": "Movement is sufficient, but market direction is divided.", "sample_size": 26, "up_pct": 46.2, "down_pct": 11.5, "active_pct": 65.4, "median_change_pct": 0.78, "median_range_pct": 4.55, "formula": "Liquid non-stable USDT pairs: volume &gt;= 10M; up/down threshold +/-1.5%; active logarithmic range threshold 3.0%; quiet active breadth threshold 35%; median direction threshold +/-1.0%."}</x:v>
      </x:c>
    </x:row>
    <x:row r="231" ht="21" customHeight="1">
      <x:c r="A231" s="8" t="n">
        <x:v>46278.09761574074</x:v>
      </x:c>
      <x:c r="B231" s="10" t="n">
        <x:v>1789255234</x:v>
      </x:c>
      <x:c r="C231" s="3" t="str">
        <x:v>production</x:v>
      </x:c>
      <x:c r="D231" s="3" t="str">
        <x:v>ACTIVE / MIXED</x:v>
      </x:c>
      <x:c r="E231" s="3" t="str">
        <x:v>Movement is sufficient, but market direction is divided.</x:v>
      </x:c>
      <x:c r="F231" s="10" t="n">
        <x:v>26</x:v>
      </x:c>
      <x:c r="G231" s="9" t="n">
        <x:v>46.2</x:v>
      </x:c>
      <x:c r="H231" s="9" t="n">
        <x:v>7.7</x:v>
      </x:c>
      <x:c r="I231" s="9" t="n">
        <x:v>65.4</x:v>
      </x:c>
      <x:c r="J231" s="9" t="n">
        <x:v>0.79</x:v>
      </x:c>
      <x:c r="K231" s="9" t="n">
        <x:v>4.4</x:v>
      </x:c>
      <x:c r="L231" s="3" t="str">
        <x:v>Liquid non-stable USDT pairs: volume &gt;= 10M; up/down threshold +/-1.5%; active logarithmic range threshold 3.0%; quiet active breadth threshold 35%; median direction threshold +/-1.0%.</x:v>
      </x:c>
      <x:c r="M231" s="10" t="n">
        <x:v>886</x:v>
      </x:c>
      <x:c r="N231" s="3" t="str">
        <x:v>{"recorded_at": 1789255234, "environment": "production", "regime": "ACTIVE / MIXED", "expectation": "Movement is sufficient, but market direction is divided.", "sample_size": 26, "up_pct": 46.2, "down_pct": 7.7, "active_pct": 65.4, "median_change_pct": 0.79, "median_range_pct": 4.4, "formula": "Liquid non-stable USDT pairs: volume &gt;= 10M; up/down threshold +/-1.5%; active logarithmic range threshold 3.0%; quiet active breadth threshold 35%; median direction threshold +/-1.0%."}</x:v>
      </x:c>
    </x:row>
    <x:row r="232" ht="21" customHeight="1">
      <x:c r="A232" s="8" t="n">
        <x:v>46278.10815972222</x:v>
      </x:c>
      <x:c r="B232" s="10" t="n">
        <x:v>1789256145</x:v>
      </x:c>
      <x:c r="C232" s="3" t="str">
        <x:v>production</x:v>
      </x:c>
      <x:c r="D232" s="3" t="str">
        <x:v>ACTIVE / MIXED</x:v>
      </x:c>
      <x:c r="E232" s="3" t="str">
        <x:v>Movement is sufficient, but market direction is divided.</x:v>
      </x:c>
      <x:c r="F232" s="10" t="n">
        <x:v>26</x:v>
      </x:c>
      <x:c r="G232" s="9" t="n">
        <x:v>46.2</x:v>
      </x:c>
      <x:c r="H232" s="9" t="n">
        <x:v>7.7</x:v>
      </x:c>
      <x:c r="I232" s="9" t="n">
        <x:v>65.4</x:v>
      </x:c>
      <x:c r="J232" s="9" t="n">
        <x:v>0.73</x:v>
      </x:c>
      <x:c r="K232" s="9" t="n">
        <x:v>4.25</x:v>
      </x:c>
      <x:c r="L232" s="3" t="str">
        <x:v>Liquid non-stable USDT pairs: volume &gt;= 10M; up/down threshold +/-1.5%; active logarithmic range threshold 3.0%; quiet active breadth threshold 35%; median direction threshold +/-1.0%.</x:v>
      </x:c>
      <x:c r="M232" s="10" t="n">
        <x:v>887</x:v>
      </x:c>
      <x:c r="N232" s="3" t="str">
        <x:v>{"recorded_at": 1789256145, "environment": "production", "regime": "ACTIVE / MIXED", "expectation": "Movement is sufficient, but market direction is divided.", "sample_size": 26, "up_pct": 46.2, "down_pct": 7.7, "active_pct": 65.4, "median_change_pct": 0.73, "median_range_pct": 4.25, "formula": "Liquid non-stable USDT pairs: volume &gt;= 10M; up/down threshold +/-1.5%; active logarithmic range threshold 3.0%; quiet active breadth threshold 35%; median direction threshold +/-1.0%."}</x:v>
      </x:c>
    </x:row>
    <x:row r="233" ht="21" customHeight="1">
      <x:c r="A233" s="8" t="n">
        <x:v>46278.1187037037</x:v>
      </x:c>
      <x:c r="B233" s="10" t="n">
        <x:v>1789257056</x:v>
      </x:c>
      <x:c r="C233" s="3" t="str">
        <x:v>production</x:v>
      </x:c>
      <x:c r="D233" s="3" t="str">
        <x:v>ACTIVE / MIXED</x:v>
      </x:c>
      <x:c r="E233" s="3" t="str">
        <x:v>Movement is sufficient, but market direction is divided.</x:v>
      </x:c>
      <x:c r="F233" s="10" t="n">
        <x:v>26</x:v>
      </x:c>
      <x:c r="G233" s="9" t="n">
        <x:v>42.3</x:v>
      </x:c>
      <x:c r="H233" s="9" t="n">
        <x:v>7.7</x:v>
      </x:c>
      <x:c r="I233" s="9" t="n">
        <x:v>65.4</x:v>
      </x:c>
      <x:c r="J233" s="9" t="n">
        <x:v>0.67</x:v>
      </x:c>
      <x:c r="K233" s="9" t="n">
        <x:v>4.25</x:v>
      </x:c>
      <x:c r="L233" s="3" t="str">
        <x:v>Liquid non-stable USDT pairs: volume &gt;= 10M; up/down threshold +/-1.5%; active logarithmic range threshold 3.0%; quiet active breadth threshold 35%; median direction threshold +/-1.0%.</x:v>
      </x:c>
      <x:c r="M233" s="10" t="n">
        <x:v>888</x:v>
      </x:c>
      <x:c r="N233" s="3" t="str">
        <x:v>{"recorded_at": 1789257056, "environment": "production", "regime": "ACTIVE / MIXED", "expectation": "Movement is sufficient, but market direction is divided.", "sample_size": 26, "up_pct": 42.3, "down_pct": 7.7, "active_pct": 65.4, "median_change_pct": 0.67, "median_range_pct": 4.25, "formula": "Liquid non-stable USDT pairs: volume &gt;= 10M; up/down threshold +/-1.5%; active logarithmic range threshold 3.0%; quiet active breadth threshold 35%; median direction threshold +/-1.0%."}</x:v>
      </x:c>
    </x:row>
    <x:row r="234" ht="21" customHeight="1">
      <x:c r="A234" s="8" t="n">
        <x:v>46278.12943287037</x:v>
      </x:c>
      <x:c r="B234" s="10" t="n">
        <x:v>1789257983</x:v>
      </x:c>
      <x:c r="C234" s="3" t="str">
        <x:v>production</x:v>
      </x:c>
      <x:c r="D234" s="3" t="str">
        <x:v>ACTIVE / MIXED</x:v>
      </x:c>
      <x:c r="E234" s="3" t="str">
        <x:v>Movement is sufficient, but market direction is divided.</x:v>
      </x:c>
      <x:c r="F234" s="10" t="n">
        <x:v>26</x:v>
      </x:c>
      <x:c r="G234" s="9" t="n">
        <x:v>42.3</x:v>
      </x:c>
      <x:c r="H234" s="9" t="n">
        <x:v>7.7</x:v>
      </x:c>
      <x:c r="I234" s="9" t="n">
        <x:v>61.5</x:v>
      </x:c>
      <x:c r="J234" s="9" t="n">
        <x:v>0.8</x:v>
      </x:c>
      <x:c r="K234" s="9" t="n">
        <x:v>4.25</x:v>
      </x:c>
      <x:c r="L234" s="3" t="str">
        <x:v>Liquid non-stable USDT pairs: volume &gt;= 10M; up/down threshold +/-1.5%; active logarithmic range threshold 3.0%; quiet active breadth threshold 35%; median direction threshold +/-1.0%.</x:v>
      </x:c>
      <x:c r="M234" s="10" t="n">
        <x:v>889</x:v>
      </x:c>
      <x:c r="N234" s="3" t="str">
        <x:v>{"recorded_at": 1789257983, "environment": "production", "regime": "ACTIVE / MIXED", "expectation": "Movement is sufficient, but market direction is divided.", "sample_size": 26, "up_pct": 42.3, "down_pct": 7.7, "active_pct": 61.5, "median_change_pct": 0.8, "median_range_pct": 4.25, "formula": "Liquid non-stable USDT pairs: volume &gt;= 10M; up/down threshold +/-1.5%; active logarithmic range threshold 3.0%; quiet active breadth threshold 35%; median direction threshold +/-1.0%."}</x:v>
      </x:c>
    </x:row>
    <x:row r="235" ht="21" customHeight="1">
      <x:c r="A235" s="8" t="n">
        <x:v>46278.14009259259</x:v>
      </x:c>
      <x:c r="B235" s="10" t="n">
        <x:v>1789258904</x:v>
      </x:c>
      <x:c r="C235" s="3" t="str">
        <x:v>production</x:v>
      </x:c>
      <x:c r="D235" s="3" t="str">
        <x:v>ACTIVE / MIXED</x:v>
      </x:c>
      <x:c r="E235" s="3" t="str">
        <x:v>Movement is sufficient, but market direction is divided.</x:v>
      </x:c>
      <x:c r="F235" s="10" t="n">
        <x:v>26</x:v>
      </x:c>
      <x:c r="G235" s="9" t="n">
        <x:v>42.3</x:v>
      </x:c>
      <x:c r="H235" s="9" t="n">
        <x:v>7.7</x:v>
      </x:c>
      <x:c r="I235" s="9" t="n">
        <x:v>61.5</x:v>
      </x:c>
      <x:c r="J235" s="9" t="n">
        <x:v>0.75</x:v>
      </x:c>
      <x:c r="K235" s="9" t="n">
        <x:v>4.25</x:v>
      </x:c>
      <x:c r="L235" s="3" t="str">
        <x:v>Liquid non-stable USDT pairs: volume &gt;= 10M; up/down threshold +/-1.5%; active logarithmic range threshold 3.0%; quiet active breadth threshold 35%; median direction threshold +/-1.0%.</x:v>
      </x:c>
      <x:c r="M235" s="10" t="n">
        <x:v>890</x:v>
      </x:c>
      <x:c r="N235" s="3" t="str">
        <x:v>{"recorded_at": 1789258904, "environment": "production", "regime": "ACTIVE / MIXED", "expectation": "Movement is sufficient, but market direction is divided.", "sample_size": 26, "up_pct": 42.3, "down_pct": 7.7, "active_pct": 61.5, "median_change_pct": 0.75, "median_range_pct": 4.25, "formula": "Liquid non-stable USDT pairs: volume &gt;= 10M; up/down threshold +/-1.5%; active logarithmic range threshold 3.0%; quiet active breadth threshold 35%; median direction threshold +/-1.0%."}</x:v>
      </x:c>
    </x:row>
    <x:row r="236" ht="21" customHeight="1">
      <x:c r="A236" s="8" t="n">
        <x:v>46278.150671296295</x:v>
      </x:c>
      <x:c r="B236" s="10" t="n">
        <x:v>1789259818</x:v>
      </x:c>
      <x:c r="C236" s="3" t="str">
        <x:v>production</x:v>
      </x:c>
      <x:c r="D236" s="3" t="str">
        <x:v>ACTIVE / MIXED</x:v>
      </x:c>
      <x:c r="E236" s="3" t="str">
        <x:v>Movement is sufficient, but market direction is divided.</x:v>
      </x:c>
      <x:c r="F236" s="10" t="n">
        <x:v>26</x:v>
      </x:c>
      <x:c r="G236" s="9" t="n">
        <x:v>42.3</x:v>
      </x:c>
      <x:c r="H236" s="9" t="n">
        <x:v>7.7</x:v>
      </x:c>
      <x:c r="I236" s="9" t="n">
        <x:v>61.5</x:v>
      </x:c>
      <x:c r="J236" s="9" t="n">
        <x:v>0.7</x:v>
      </x:c>
      <x:c r="K236" s="9" t="n">
        <x:v>4.1</x:v>
      </x:c>
      <x:c r="L236" s="3" t="str">
        <x:v>Liquid non-stable USDT pairs: volume &gt;= 10M; up/down threshold +/-1.5%; active logarithmic range threshold 3.0%; quiet active breadth threshold 35%; median direction threshold +/-1.0%.</x:v>
      </x:c>
      <x:c r="M236" s="10" t="n">
        <x:v>891</x:v>
      </x:c>
      <x:c r="N236" s="3" t="str">
        <x:v>{"recorded_at": 1789259818, "environment": "production", "regime": "ACTIVE / MIXED", "expectation": "Movement is sufficient, but market direction is divided.", "sample_size": 26, "up_pct": 42.3, "down_pct": 7.7, "active_pct": 61.5, "median_change_pct": 0.7, "median_range_pct": 4.1, "formula": "Liquid non-stable USDT pairs: volume &gt;= 10M; up/down threshold +/-1.5%; active logarithmic range threshold 3.0%; quiet active breadth threshold 35%; median direction threshold +/-1.0%."}</x:v>
      </x:c>
    </x:row>
    <x:row r="237" ht="21" customHeight="1">
      <x:c r="A237" s="8" t="n">
        <x:v>46278.161157407405</x:v>
      </x:c>
      <x:c r="B237" s="10" t="n">
        <x:v>1789260724</x:v>
      </x:c>
      <x:c r="C237" s="3" t="str">
        <x:v>production</x:v>
      </x:c>
      <x:c r="D237" s="3" t="str">
        <x:v>ACTIVE / MIXED</x:v>
      </x:c>
      <x:c r="E237" s="3" t="str">
        <x:v>Movement is sufficient, but market direction is divided.</x:v>
      </x:c>
      <x:c r="F237" s="10" t="n">
        <x:v>26</x:v>
      </x:c>
      <x:c r="G237" s="9" t="n">
        <x:v>46.2</x:v>
      </x:c>
      <x:c r="H237" s="9" t="n">
        <x:v>7.7</x:v>
      </x:c>
      <x:c r="I237" s="9" t="n">
        <x:v>61.5</x:v>
      </x:c>
      <x:c r="J237" s="9" t="n">
        <x:v>0.72</x:v>
      </x:c>
      <x:c r="K237" s="9" t="n">
        <x:v>4.1</x:v>
      </x:c>
      <x:c r="L237" s="3" t="str">
        <x:v>Liquid non-stable USDT pairs: volume &gt;= 10M; up/down threshold +/-1.5%; active logarithmic range threshold 3.0%; quiet active breadth threshold 35%; median direction threshold +/-1.0%.</x:v>
      </x:c>
      <x:c r="M237" s="10" t="n">
        <x:v>892</x:v>
      </x:c>
      <x:c r="N237" s="3" t="str">
        <x:v>{"recorded_at": 1789260724, "environment": "production", "regime": "ACTIVE / MIXED", "expectation": "Movement is sufficient, but market direction is divided.", "sample_size": 26, "up_pct": 46.2, "down_pct": 7.7, "active_pct": 61.5, "median_change_pct": 0.72, "median_range_pct": 4.1, "formula": "Liquid non-stable USDT pairs: volume &gt;= 10M; up/down threshold +/-1.5%; active logarithmic range threshold 3.0%; quiet active breadth threshold 35%; median direction threshold +/-1.0%."}</x:v>
      </x:c>
    </x:row>
    <x:row r="238" ht="21" customHeight="1">
      <x:c r="A238" s="8" t="n">
        <x:v>46278.171898148146</x:v>
      </x:c>
      <x:c r="B238" s="10" t="n">
        <x:v>1789261652</x:v>
      </x:c>
      <x:c r="C238" s="3" t="str">
        <x:v>production</x:v>
      </x:c>
      <x:c r="D238" s="3" t="str">
        <x:v>ACTIVE / MIXED</x:v>
      </x:c>
      <x:c r="E238" s="3" t="str">
        <x:v>Movement is sufficient, but market direction is divided.</x:v>
      </x:c>
      <x:c r="F238" s="10" t="n">
        <x:v>26</x:v>
      </x:c>
      <x:c r="G238" s="9" t="n">
        <x:v>38.5</x:v>
      </x:c>
      <x:c r="H238" s="9" t="n">
        <x:v>7.7</x:v>
      </x:c>
      <x:c r="I238" s="9" t="n">
        <x:v>61.5</x:v>
      </x:c>
      <x:c r="J238" s="9" t="n">
        <x:v>0.59</x:v>
      </x:c>
      <x:c r="K238" s="9" t="n">
        <x:v>4.06</x:v>
      </x:c>
      <x:c r="L238" s="3" t="str">
        <x:v>Liquid non-stable USDT pairs: volume &gt;= 10M; up/down threshold +/-1.5%; active logarithmic range threshold 3.0%; quiet active breadth threshold 35%; median direction threshold +/-1.0%.</x:v>
      </x:c>
      <x:c r="M238" s="10" t="n">
        <x:v>893</x:v>
      </x:c>
      <x:c r="N238" s="3" t="str">
        <x:v>{"recorded_at": 1789261652, "environment": "production", "regime": "ACTIVE / MIXED", "expectation": "Movement is sufficient, but market direction is divided.", "sample_size": 26, "up_pct": 38.5, "down_pct": 7.7, "active_pct": 61.5, "median_change_pct": 0.59, "median_range_pct": 4.06, "formula": "Liquid non-stable USDT pairs: volume &gt;= 10M; up/down threshold +/-1.5%; active logarithmic range threshold 3.0%; quiet active breadth threshold 35%; median direction threshold +/-1.0%."}</x:v>
      </x:c>
    </x:row>
    <x:row r="239" ht="21" customHeight="1">
      <x:c r="A239" s="8" t="n">
        <x:v>46278.182337962964</x:v>
      </x:c>
      <x:c r="B239" s="10" t="n">
        <x:v>1789262554</x:v>
      </x:c>
      <x:c r="C239" s="3" t="str">
        <x:v>production</x:v>
      </x:c>
      <x:c r="D239" s="3" t="str">
        <x:v>ACTIVE / MIXED</x:v>
      </x:c>
      <x:c r="E239" s="3" t="str">
        <x:v>Movement is sufficient, but market direction is divided.</x:v>
      </x:c>
      <x:c r="F239" s="10" t="n">
        <x:v>25</x:v>
      </x:c>
      <x:c r="G239" s="9" t="n">
        <x:v>44</x:v>
      </x:c>
      <x:c r="H239" s="9" t="n">
        <x:v>8</x:v>
      </x:c>
      <x:c r="I239" s="9" t="n">
        <x:v>60</x:v>
      </x:c>
      <x:c r="J239" s="9" t="n">
        <x:v>0.57</x:v>
      </x:c>
      <x:c r="K239" s="9" t="n">
        <x:v>3.96</x:v>
      </x:c>
      <x:c r="L239" s="3" t="str">
        <x:v>Liquid non-stable USDT pairs: volume &gt;= 10M; up/down threshold +/-1.5%; active logarithmic range threshold 3.0%; quiet active breadth threshold 35%; median direction threshold +/-1.0%.</x:v>
      </x:c>
      <x:c r="M239" s="10" t="n">
        <x:v>894</x:v>
      </x:c>
      <x:c r="N239" s="3" t="str">
        <x:v>{"recorded_at": 1789262554, "environment": "production", "regime": "ACTIVE / MIXED", "expectation": "Movement is sufficient, but market direction is divided.", "sample_size": 25, "up_pct": 44.0, "down_pct": 8.0, "active_pct": 60.0, "median_change_pct": 0.57, "median_range_pct": 3.96, "formula": "Liquid non-stable USDT pairs: volume &gt;= 10M; up/down threshold +/-1.5%; active logarithmic range threshold 3.0%; quiet active breadth threshold 35%; median direction threshold +/-1.0%."}</x:v>
      </x:c>
    </x:row>
    <x:row r="240" ht="21" customHeight="1">
      <x:c r="A240" s="8" t="n">
        <x:v>46278.193032407406</x:v>
      </x:c>
      <x:c r="B240" s="10" t="n">
        <x:v>1789263478</x:v>
      </x:c>
      <x:c r="C240" s="3" t="str">
        <x:v>production</x:v>
      </x:c>
      <x:c r="D240" s="3" t="str">
        <x:v>ACTIVE / MIXED</x:v>
      </x:c>
      <x:c r="E240" s="3" t="str">
        <x:v>Movement is sufficient, but market direction is divided.</x:v>
      </x:c>
      <x:c r="F240" s="10" t="n">
        <x:v>25</x:v>
      </x:c>
      <x:c r="G240" s="9" t="n">
        <x:v>36</x:v>
      </x:c>
      <x:c r="H240" s="9" t="n">
        <x:v>4</x:v>
      </x:c>
      <x:c r="I240" s="9" t="n">
        <x:v>60</x:v>
      </x:c>
      <x:c r="J240" s="9" t="n">
        <x:v>0.29</x:v>
      </x:c>
      <x:c r="K240" s="9" t="n">
        <x:v>3.96</x:v>
      </x:c>
      <x:c r="L240" s="3" t="str">
        <x:v>Liquid non-stable USDT pairs: volume &gt;= 10M; up/down threshold +/-1.5%; active logarithmic range threshold 3.0%; quiet active breadth threshold 35%; median direction threshold +/-1.0%.</x:v>
      </x:c>
      <x:c r="M240" s="10" t="n">
        <x:v>895</x:v>
      </x:c>
      <x:c r="N240" s="3" t="str">
        <x:v>{"recorded_at": 1789263478, "environment": "production", "regime": "ACTIVE / MIXED", "expectation": "Movement is sufficient, but market direction is divided.", "sample_size": 25, "up_pct": 36.0, "down_pct": 4.0, "active_pct": 60.0, "median_change_pct": 0.29, "median_range_pct": 3.96, "formula": "Liquid non-stable USDT pairs: volume &gt;= 10M; up/down threshold +/-1.5%; active logarithmic range threshold 3.0%; quiet active breadth threshold 35%; median direction threshold +/-1.0%."}</x:v>
      </x:c>
    </x:row>
    <x:row r="241" ht="21" customHeight="1">
      <x:c r="A241" s="8" t="n">
        <x:v>46278.20364583333</x:v>
      </x:c>
      <x:c r="B241" s="10" t="n">
        <x:v>1789264395</x:v>
      </x:c>
      <x:c r="C241" s="3" t="str">
        <x:v>production</x:v>
      </x:c>
      <x:c r="D241" s="3" t="str">
        <x:v>ACTIVE / MIXED</x:v>
      </x:c>
      <x:c r="E241" s="3" t="str">
        <x:v>Movement is sufficient, but market direction is divided.</x:v>
      </x:c>
      <x:c r="F241" s="10" t="n">
        <x:v>25</x:v>
      </x:c>
      <x:c r="G241" s="9" t="n">
        <x:v>36</x:v>
      </x:c>
      <x:c r="H241" s="9" t="n">
        <x:v>4</x:v>
      </x:c>
      <x:c r="I241" s="9" t="n">
        <x:v>60</x:v>
      </x:c>
      <x:c r="J241" s="9" t="n">
        <x:v>0.49</x:v>
      </x:c>
      <x:c r="K241" s="9" t="n">
        <x:v>3.96</x:v>
      </x:c>
      <x:c r="L241" s="3" t="str">
        <x:v>Liquid non-stable USDT pairs: volume &gt;= 10M; up/down threshold +/-1.5%; active logarithmic range threshold 3.0%; quiet active breadth threshold 35%; median direction threshold +/-1.0%.</x:v>
      </x:c>
      <x:c r="M241" s="10" t="n">
        <x:v>896</x:v>
      </x:c>
      <x:c r="N241" s="3" t="str">
        <x:v>{"recorded_at": 1789264395, "environment": "production", "regime": "ACTIVE / MIXED", "expectation": "Movement is sufficient, but market direction is divided.", "sample_size": 25, "up_pct": 36.0, "down_pct": 4.0, "active_pct": 60.0, "median_change_pct": 0.49, "median_range_pct": 3.96, "formula": "Liquid non-stable USDT pairs: volume &gt;= 10M; up/down threshold +/-1.5%; active logarithmic range threshold 3.0%; quiet active breadth threshold 35%; median direction threshold +/-1.0%."}</x:v>
      </x:c>
    </x:row>
    <x:row r="242" ht="21" customHeight="1">
      <x:c r="A242" s="8" t="n">
        <x:v>46278.21431712963</x:v>
      </x:c>
      <x:c r="B242" s="10" t="n">
        <x:v>1789265317</x:v>
      </x:c>
      <x:c r="C242" s="3" t="str">
        <x:v>production</x:v>
      </x:c>
      <x:c r="D242" s="3" t="str">
        <x:v>ACTIVE / MIXED</x:v>
      </x:c>
      <x:c r="E242" s="3" t="str">
        <x:v>Movement is sufficient, but market direction is divided.</x:v>
      </x:c>
      <x:c r="F242" s="10" t="n">
        <x:v>25</x:v>
      </x:c>
      <x:c r="G242" s="9" t="n">
        <x:v>40</x:v>
      </x:c>
      <x:c r="H242" s="9" t="n">
        <x:v>4</x:v>
      </x:c>
      <x:c r="I242" s="9" t="n">
        <x:v>60</x:v>
      </x:c>
      <x:c r="J242" s="9" t="n">
        <x:v>0.38</x:v>
      </x:c>
      <x:c r="K242" s="9" t="n">
        <x:v>3.96</x:v>
      </x:c>
      <x:c r="L242" s="3" t="str">
        <x:v>Liquid non-stable USDT pairs: volume &gt;= 10M; up/down threshold +/-1.5%; active logarithmic range threshold 3.0%; quiet active breadth threshold 35%; median direction threshold +/-1.0%.</x:v>
      </x:c>
      <x:c r="M242" s="10" t="n">
        <x:v>897</x:v>
      </x:c>
      <x:c r="N242" s="3" t="str">
        <x:v>{"recorded_at": 1789265317, "environment": "production", "regime": "ACTIVE / MIXED", "expectation": "Movement is sufficient, but market direction is divided.", "sample_size": 25, "up_pct": 40.0, "down_pct": 4.0, "active_pct": 60.0, "median_change_pct": 0.38, "median_range_pct": 3.96, "formula": "Liquid non-stable USDT pairs: volume &gt;= 10M; up/down threshold +/-1.5%; active logarithmic range threshold 3.0%; quiet active breadth threshold 35%; median direction threshold +/-1.0%."}</x:v>
      </x:c>
    </x:row>
    <x:row r="243" ht="21" customHeight="1">
      <x:c r="A243" s="8" t="n">
        <x:v>46278.22498842593</x:v>
      </x:c>
      <x:c r="B243" s="10" t="n">
        <x:v>1789266239</x:v>
      </x:c>
      <x:c r="C243" s="3" t="str">
        <x:v>production</x:v>
      </x:c>
      <x:c r="D243" s="3" t="str">
        <x:v>ACTIVE / MIXED</x:v>
      </x:c>
      <x:c r="E243" s="3" t="str">
        <x:v>Movement is sufficient, but market direction is divided.</x:v>
      </x:c>
      <x:c r="F243" s="10" t="n">
        <x:v>25</x:v>
      </x:c>
      <x:c r="G243" s="9" t="n">
        <x:v>36</x:v>
      </x:c>
      <x:c r="H243" s="9" t="n">
        <x:v>4</x:v>
      </x:c>
      <x:c r="I243" s="9" t="n">
        <x:v>60</x:v>
      </x:c>
      <x:c r="J243" s="9" t="n">
        <x:v>0.34</x:v>
      </x:c>
      <x:c r="K243" s="9" t="n">
        <x:v>3.96</x:v>
      </x:c>
      <x:c r="L243" s="3" t="str">
        <x:v>Liquid non-stable USDT pairs: volume &gt;= 10M; up/down threshold +/-1.5%; active logarithmic range threshold 3.0%; quiet active breadth threshold 35%; median direction threshold +/-1.0%.</x:v>
      </x:c>
      <x:c r="M243" s="10" t="n">
        <x:v>898</x:v>
      </x:c>
      <x:c r="N243" s="3" t="str">
        <x:v>{"recorded_at": 1789266239, "environment": "production", "regime": "ACTIVE / MIXED", "expectation": "Movement is sufficient, but market direction is divided.", "sample_size": 25, "up_pct": 36.0, "down_pct": 4.0, "active_pct": 60.0, "median_change_pct": 0.34, "median_range_pct": 3.96, "formula": "Liquid non-stable USDT pairs: volume &gt;= 10M; up/down threshold +/-1.5%; active logarithmic range threshold 3.0%; quiet active breadth threshold 35%; median direction threshold +/-1.0%."}</x:v>
      </x:c>
    </x:row>
    <x:row r="244" ht="21" customHeight="1">
      <x:c r="A244" s="8" t="n">
        <x:v>46278.23568287037</x:v>
      </x:c>
      <x:c r="B244" s="10" t="n">
        <x:v>1789267163</x:v>
      </x:c>
      <x:c r="C244" s="3" t="str">
        <x:v>production</x:v>
      </x:c>
      <x:c r="D244" s="3" t="str">
        <x:v>ACTIVE / MIXED</x:v>
      </x:c>
      <x:c r="E244" s="3" t="str">
        <x:v>Movement is sufficient, but market direction is divided.</x:v>
      </x:c>
      <x:c r="F244" s="10" t="n">
        <x:v>25</x:v>
      </x:c>
      <x:c r="G244" s="9" t="n">
        <x:v>36</x:v>
      </x:c>
      <x:c r="H244" s="9" t="n">
        <x:v>4</x:v>
      </x:c>
      <x:c r="I244" s="9" t="n">
        <x:v>60</x:v>
      </x:c>
      <x:c r="J244" s="9" t="n">
        <x:v>0.32</x:v>
      </x:c>
      <x:c r="K244" s="9" t="n">
        <x:v>3.96</x:v>
      </x:c>
      <x:c r="L244" s="3" t="str">
        <x:v>Liquid non-stable USDT pairs: volume &gt;= 10M; up/down threshold +/-1.5%; active logarithmic range threshold 3.0%; quiet active breadth threshold 35%; median direction threshold +/-1.0%.</x:v>
      </x:c>
      <x:c r="M244" s="10" t="n">
        <x:v>899</x:v>
      </x:c>
      <x:c r="N244" s="3" t="str">
        <x:v>{"recorded_at": 1789267163, "environment": "production", "regime": "ACTIVE / MIXED", "expectation": "Movement is sufficient, but market direction is divided.", "sample_size": 25, "up_pct": 36.0, "down_pct": 4.0, "active_pct": 60.0, "median_change_pct": 0.32, "median_range_pct": 3.96, "formula": "Liquid non-stable USDT pairs: volume &gt;= 10M; up/down threshold +/-1.5%; active logarithmic range threshold 3.0%; quiet active breadth threshold 35%; median direction threshold +/-1.0%."}</x:v>
      </x:c>
    </x:row>
    <x:row r="245" ht="21" customHeight="1">
      <x:c r="A245" s="8" t="n">
        <x:v>46278.246342592596</x:v>
      </x:c>
      <x:c r="B245" s="10" t="n">
        <x:v>1789268084</x:v>
      </x:c>
      <x:c r="C245" s="3" t="str">
        <x:v>production</x:v>
      </x:c>
      <x:c r="D245" s="3" t="str">
        <x:v>ACTIVE / MIXED</x:v>
      </x:c>
      <x:c r="E245" s="3" t="str">
        <x:v>Movement is sufficient, but market direction is divided.</x:v>
      </x:c>
      <x:c r="F245" s="10" t="n">
        <x:v>25</x:v>
      </x:c>
      <x:c r="G245" s="9" t="n">
        <x:v>40</x:v>
      </x:c>
      <x:c r="H245" s="9" t="n">
        <x:v>4</x:v>
      </x:c>
      <x:c r="I245" s="9" t="n">
        <x:v>60</x:v>
      </x:c>
      <x:c r="J245" s="9" t="n">
        <x:v>0.47</x:v>
      </x:c>
      <x:c r="K245" s="9" t="n">
        <x:v>3.96</x:v>
      </x:c>
      <x:c r="L245" s="3" t="str">
        <x:v>Liquid non-stable USDT pairs: volume &gt;= 10M; up/down threshold +/-1.5%; active logarithmic range threshold 3.0%; quiet active breadth threshold 35%; median direction threshold +/-1.0%.</x:v>
      </x:c>
      <x:c r="M245" s="10" t="n">
        <x:v>900</x:v>
      </x:c>
      <x:c r="N245" s="3" t="str">
        <x:v>{"recorded_at": 1789268084, "environment": "production", "regime": "ACTIVE / MIXED", "expectation": "Movement is sufficient, but market direction is divided.", "sample_size": 25, "up_pct": 40.0, "down_pct": 4.0, "active_pct": 60.0, "median_change_pct": 0.47, "median_range_pct": 3.96, "formula": "Liquid non-stable USDT pairs: volume &gt;= 10M; up/down threshold +/-1.5%; active logarithmic range threshold 3.0%; quiet active breadth threshold 35%; median direction threshold +/-1.0%."}</x:v>
      </x:c>
    </x:row>
    <x:row r="246" ht="21" customHeight="1">
      <x:c r="A246" s="8" t="n">
        <x:v>46278.25677083333</x:v>
      </x:c>
      <x:c r="B246" s="10" t="n">
        <x:v>1789268985</x:v>
      </x:c>
      <x:c r="C246" s="3" t="str">
        <x:v>production</x:v>
      </x:c>
      <x:c r="D246" s="3" t="str">
        <x:v>ACTIVE / MIXED</x:v>
      </x:c>
      <x:c r="E246" s="3" t="str">
        <x:v>Movement is sufficient, but market direction is divided.</x:v>
      </x:c>
      <x:c r="F246" s="10" t="n">
        <x:v>25</x:v>
      </x:c>
      <x:c r="G246" s="9" t="n">
        <x:v>40</x:v>
      </x:c>
      <x:c r="H246" s="9" t="n">
        <x:v>8</x:v>
      </x:c>
      <x:c r="I246" s="9" t="n">
        <x:v>60</x:v>
      </x:c>
      <x:c r="J246" s="9" t="n">
        <x:v>0.27</x:v>
      </x:c>
      <x:c r="K246" s="9" t="n">
        <x:v>3.96</x:v>
      </x:c>
      <x:c r="L246" s="3" t="str">
        <x:v>Liquid non-stable USDT pairs: volume &gt;= 10M; up/down threshold +/-1.5%; active logarithmic range threshold 3.0%; quiet active breadth threshold 35%; median direction threshold +/-1.0%.</x:v>
      </x:c>
      <x:c r="M246" s="10" t="n">
        <x:v>901</x:v>
      </x:c>
      <x:c r="N246" s="3" t="str">
        <x:v>{"recorded_at": 1789268985, "environment": "production", "regime": "ACTIVE / MIXED", "expectation": "Movement is sufficient, but market direction is divided.", "sample_size": 25, "up_pct": 40.0, "down_pct": 8.0, "active_pct": 60.0, "median_change_pct": 0.27, "median_range_pct": 3.96, "formula": "Liquid non-stable USDT pairs: volume &gt;= 10M; up/down threshold +/-1.5%; active logarithmic range threshold 3.0%; quiet active breadth threshold 35%; median direction threshold +/-1.0%."}</x:v>
      </x:c>
    </x:row>
    <x:row r="247" ht="21" customHeight="1">
      <x:c r="A247" s="8" t="n">
        <x:v>46278.267488425925</x:v>
      </x:c>
      <x:c r="B247" s="10" t="n">
        <x:v>1789269911</x:v>
      </x:c>
      <x:c r="C247" s="3" t="str">
        <x:v>production</x:v>
      </x:c>
      <x:c r="D247" s="3" t="str">
        <x:v>ACTIVE / MIXED</x:v>
      </x:c>
      <x:c r="E247" s="3" t="str">
        <x:v>Movement is sufficient, but market direction is divided.</x:v>
      </x:c>
      <x:c r="F247" s="10" t="n">
        <x:v>25</x:v>
      </x:c>
      <x:c r="G247" s="9" t="n">
        <x:v>36</x:v>
      </x:c>
      <x:c r="H247" s="9" t="n">
        <x:v>8</x:v>
      </x:c>
      <x:c r="I247" s="9" t="n">
        <x:v>60</x:v>
      </x:c>
      <x:c r="J247" s="9" t="n">
        <x:v>0.29</x:v>
      </x:c>
      <x:c r="K247" s="9" t="n">
        <x:v>4.21</x:v>
      </x:c>
      <x:c r="L247" s="3" t="str">
        <x:v>Liquid non-stable USDT pairs: volume &gt;= 10M; up/down threshold +/-1.5%; active logarithmic range threshold 3.0%; quiet active breadth threshold 35%; median direction threshold +/-1.0%.</x:v>
      </x:c>
      <x:c r="M247" s="10" t="n">
        <x:v>902</x:v>
      </x:c>
      <x:c r="N247" s="3" t="str">
        <x:v>{"recorded_at": 1789269911, "environment": "production", "regime": "ACTIVE / MIXED", "expectation": "Movement is sufficient, but market direction is divided.", "sample_size": 25, "up_pct": 36.0, "down_pct": 8.0, "active_pct": 60.0, "median_change_pct": 0.29, "median_range_pct": 4.21, "formula": "Liquid non-stable USDT pairs: volume &gt;= 10M; up/down threshold +/-1.5%; active logarithmic range threshold 3.0%; quiet active breadth threshold 35%; median direction threshold +/-1.0%."}</x:v>
      </x:c>
    </x:row>
    <x:row r="248" ht="21" customHeight="1">
      <x:c r="A248" s="8" t="n">
        <x:v>46278.27820601852</x:v>
      </x:c>
      <x:c r="B248" s="10" t="n">
        <x:v>1789270837</x:v>
      </x:c>
      <x:c r="C248" s="3" t="str">
        <x:v>production</x:v>
      </x:c>
      <x:c r="D248" s="3" t="str">
        <x:v>ACTIVE / MIXED</x:v>
      </x:c>
      <x:c r="E248" s="3" t="str">
        <x:v>Movement is sufficient, but market direction is divided.</x:v>
      </x:c>
      <x:c r="F248" s="10" t="n">
        <x:v>25</x:v>
      </x:c>
      <x:c r="G248" s="9" t="n">
        <x:v>36</x:v>
      </x:c>
      <x:c r="H248" s="9" t="n">
        <x:v>8</x:v>
      </x:c>
      <x:c r="I248" s="9" t="n">
        <x:v>60</x:v>
      </x:c>
      <x:c r="J248" s="9" t="n">
        <x:v>0.29</x:v>
      </x:c>
      <x:c r="K248" s="9" t="n">
        <x:v>4.34</x:v>
      </x:c>
      <x:c r="L248" s="3" t="str">
        <x:v>Liquid non-stable USDT pairs: volume &gt;= 10M; up/down threshold +/-1.5%; active logarithmic range threshold 3.0%; quiet active breadth threshold 35%; median direction threshold +/-1.0%.</x:v>
      </x:c>
      <x:c r="M248" s="10" t="n">
        <x:v>903</x:v>
      </x:c>
      <x:c r="N248" s="3" t="str">
        <x:v>{"recorded_at": 1789270837, "environment": "production", "regime": "ACTIVE / MIXED", "expectation": "Movement is sufficient, but market direction is divided.", "sample_size": 25, "up_pct": 36.0, "down_pct": 8.0, "active_pct": 60.0, "median_change_pct": 0.29, "median_range_pct": 4.34, "formula": "Liquid non-stable USDT pairs: volume &gt;= 10M; up/down threshold +/-1.5%; active logarithmic range threshold 3.0%; quiet active breadth threshold 35%; median direction threshold +/-1.0%."}</x:v>
      </x:c>
    </x:row>
    <x:row r="249" ht="21" customHeight="1">
      <x:c r="A249" s="8" t="n">
        <x:v>46278.28896990741</x:v>
      </x:c>
      <x:c r="B249" s="10" t="n">
        <x:v>1789271767</x:v>
      </x:c>
      <x:c r="C249" s="3" t="str">
        <x:v>production</x:v>
      </x:c>
      <x:c r="D249" s="3" t="str">
        <x:v>ACTIVE / MIXED</x:v>
      </x:c>
      <x:c r="E249" s="3" t="str">
        <x:v>Movement is sufficient, but market direction is divided.</x:v>
      </x:c>
      <x:c r="F249" s="10" t="n">
        <x:v>25</x:v>
      </x:c>
      <x:c r="G249" s="9" t="n">
        <x:v>32</x:v>
      </x:c>
      <x:c r="H249" s="9" t="n">
        <x:v>12</x:v>
      </x:c>
      <x:c r="I249" s="9" t="n">
        <x:v>60</x:v>
      </x:c>
      <x:c r="J249" s="9" t="n">
        <x:v>0.03</x:v>
      </x:c>
      <x:c r="K249" s="9" t="n">
        <x:v>4.34</x:v>
      </x:c>
      <x:c r="L249" s="3" t="str">
        <x:v>Liquid non-stable USDT pairs: volume &gt;= 10M; up/down threshold +/-1.5%; active logarithmic range threshold 3.0%; quiet active breadth threshold 35%; median direction threshold +/-1.0%.</x:v>
      </x:c>
      <x:c r="M249" s="10" t="n">
        <x:v>904</x:v>
      </x:c>
      <x:c r="N249" s="3" t="str">
        <x:v>{"recorded_at": 1789271767, "environment": "production", "regime": "ACTIVE / MIXED", "expectation": "Movement is sufficient, but market direction is divided.", "sample_size": 25, "up_pct": 32.0, "down_pct": 12.0, "active_pct": 60.0, "median_change_pct": 0.03, "median_range_pct": 4.34, "formula": "Liquid non-stable USDT pairs: volume &gt;= 10M; up/down threshold +/-1.5%; active logarithmic range threshold 3.0%; quiet active breadth threshold 35%; median direction threshold +/-1.0%."}</x:v>
      </x:c>
    </x:row>
    <x:row r="250" ht="21" customHeight="1">
      <x:c r="A250" s="8" t="n">
        <x:v>46278.299409722225</x:v>
      </x:c>
      <x:c r="B250" s="10" t="n">
        <x:v>1789272669</x:v>
      </x:c>
      <x:c r="C250" s="3" t="str">
        <x:v>production</x:v>
      </x:c>
      <x:c r="D250" s="3" t="str">
        <x:v>ACTIVE / MIXED</x:v>
      </x:c>
      <x:c r="E250" s="3" t="str">
        <x:v>Movement is sufficient, but market direction is divided.</x:v>
      </x:c>
      <x:c r="F250" s="10" t="n">
        <x:v>25</x:v>
      </x:c>
      <x:c r="G250" s="9" t="n">
        <x:v>36</x:v>
      </x:c>
      <x:c r="H250" s="9" t="n">
        <x:v>8</x:v>
      </x:c>
      <x:c r="I250" s="9" t="n">
        <x:v>60</x:v>
      </x:c>
      <x:c r="J250" s="9" t="n">
        <x:v>0.12</x:v>
      </x:c>
      <x:c r="K250" s="9" t="n">
        <x:v>4.34</x:v>
      </x:c>
      <x:c r="L250" s="3" t="str">
        <x:v>Liquid non-stable USDT pairs: volume &gt;= 10M; up/down threshold +/-1.5%; active logarithmic range threshold 3.0%; quiet active breadth threshold 35%; median direction threshold +/-1.0%.</x:v>
      </x:c>
      <x:c r="M250" s="10" t="n">
        <x:v>905</x:v>
      </x:c>
      <x:c r="N250" s="3" t="str">
        <x:v>{"recorded_at": 1789272669, "environment": "production", "regime": "ACTIVE / MIXED", "expectation": "Movement is sufficient, but market direction is divided.", "sample_size": 25, "up_pct": 36.0, "down_pct": 8.0, "active_pct": 60.0, "median_change_pct": 0.12, "median_range_pct": 4.34, "formula": "Liquid non-stable USDT pairs: volume &gt;= 10M; up/down threshold +/-1.5%; active logarithmic range threshold 3.0%; quiet active breadth threshold 35%; median direction threshold +/-1.0%."}</x:v>
      </x:c>
    </x:row>
    <x:row r="251" ht="21" customHeight="1">
      <x:c r="A251" s="8" t="n">
        <x:v>46278.30991898148</x:v>
      </x:c>
      <x:c r="B251" s="10" t="n">
        <x:v>1789273577</x:v>
      </x:c>
      <x:c r="C251" s="3" t="str">
        <x:v>production</x:v>
      </x:c>
      <x:c r="D251" s="3" t="str">
        <x:v>ACTIVE / MIXED</x:v>
      </x:c>
      <x:c r="E251" s="3" t="str">
        <x:v>Movement is sufficient, but market direction is divided.</x:v>
      </x:c>
      <x:c r="F251" s="10" t="n">
        <x:v>25</x:v>
      </x:c>
      <x:c r="G251" s="9" t="n">
        <x:v>40</x:v>
      </x:c>
      <x:c r="H251" s="9" t="n">
        <x:v>4</x:v>
      </x:c>
      <x:c r="I251" s="9" t="n">
        <x:v>60</x:v>
      </x:c>
      <x:c r="J251" s="9" t="n">
        <x:v>0.26</x:v>
      </x:c>
      <x:c r="K251" s="9" t="n">
        <x:v>4.34</x:v>
      </x:c>
      <x:c r="L251" s="3" t="str">
        <x:v>Liquid non-stable USDT pairs: volume &gt;= 10M; up/down threshold +/-1.5%; active logarithmic range threshold 3.0%; quiet active breadth threshold 35%; median direction threshold +/-1.0%.</x:v>
      </x:c>
      <x:c r="M251" s="10" t="n">
        <x:v>906</x:v>
      </x:c>
      <x:c r="N251" s="3" t="str">
        <x:v>{"recorded_at": 1789273577, "environment": "production", "regime": "ACTIVE / MIXED", "expectation": "Movement is sufficient, but market direction is divided.", "sample_size": 25, "up_pct": 40.0, "down_pct": 4.0, "active_pct": 60.0, "median_change_pct": 0.26, "median_range_pct": 4.34, "formula": "Liquid non-stable USDT pairs: volume &gt;= 10M; up/down threshold +/-1.5%; active logarithmic range threshold 3.0%; quiet active breadth threshold 35%; median direction threshold +/-1.0%."}</x:v>
      </x:c>
    </x:row>
    <x:row r="252" ht="21" customHeight="1">
      <x:c r="A252" s="8" t="n">
        <x:v>46278.32041666667</x:v>
      </x:c>
      <x:c r="B252" s="10" t="n">
        <x:v>1789274484</x:v>
      </x:c>
      <x:c r="C252" s="3" t="str">
        <x:v>production</x:v>
      </x:c>
      <x:c r="D252" s="3" t="str">
        <x:v>ACTIVE / MIXED</x:v>
      </x:c>
      <x:c r="E252" s="3" t="str">
        <x:v>Movement is sufficient, but market direction is divided.</x:v>
      </x:c>
      <x:c r="F252" s="10" t="n">
        <x:v>25</x:v>
      </x:c>
      <x:c r="G252" s="9" t="n">
        <x:v>40</x:v>
      </x:c>
      <x:c r="H252" s="9" t="n">
        <x:v>8</x:v>
      </x:c>
      <x:c r="I252" s="9" t="n">
        <x:v>60</x:v>
      </x:c>
      <x:c r="J252" s="9" t="n">
        <x:v>0.2</x:v>
      </x:c>
      <x:c r="K252" s="9" t="n">
        <x:v>4.34</x:v>
      </x:c>
      <x:c r="L252" s="3" t="str">
        <x:v>Liquid non-stable USDT pairs: volume &gt;= 10M; up/down threshold +/-1.5%; active logarithmic range threshold 3.0%; quiet active breadth threshold 35%; median direction threshold +/-1.0%.</x:v>
      </x:c>
      <x:c r="M252" s="10" t="n">
        <x:v>907</x:v>
      </x:c>
      <x:c r="N252" s="3" t="str">
        <x:v>{"recorded_at": 1789274484, "environment": "production", "regime": "ACTIVE / MIXED", "expectation": "Movement is sufficient, but market direction is divided.", "sample_size": 25, "up_pct": 40.0, "down_pct": 8.0, "active_pct": 60.0, "median_change_pct": 0.2, "median_range_pct": 4.34, "formula": "Liquid non-stable USDT pairs: volume &gt;= 10M; up/down threshold +/-1.5%; active logarithmic range threshold 3.0%; quiet active breadth threshold 35%; median direction threshold +/-1.0%."}</x:v>
      </x:c>
    </x:row>
    <x:row r="253" ht="21" customHeight="1">
      <x:c r="A253" s="8" t="n">
        <x:v>46278.33122685185</x:v>
      </x:c>
      <x:c r="B253" s="10" t="n">
        <x:v>1789275418</x:v>
      </x:c>
      <x:c r="C253" s="3" t="str">
        <x:v>production</x:v>
      </x:c>
      <x:c r="D253" s="3" t="str">
        <x:v>ACTIVE / MIXED</x:v>
      </x:c>
      <x:c r="E253" s="3" t="str">
        <x:v>Movement is sufficient, but market direction is divided.</x:v>
      </x:c>
      <x:c r="F253" s="10" t="n">
        <x:v>25</x:v>
      </x:c>
      <x:c r="G253" s="9" t="n">
        <x:v>40</x:v>
      </x:c>
      <x:c r="H253" s="9" t="n">
        <x:v>4</x:v>
      </x:c>
      <x:c r="I253" s="9" t="n">
        <x:v>60</x:v>
      </x:c>
      <x:c r="J253" s="9" t="n">
        <x:v>0.46</x:v>
      </x:c>
      <x:c r="K253" s="9" t="n">
        <x:v>4.34</x:v>
      </x:c>
      <x:c r="L253" s="3" t="str">
        <x:v>Liquid non-stable USDT pairs: volume &gt;= 10M; up/down threshold +/-1.5%; active logarithmic range threshold 3.0%; quiet active breadth threshold 35%; median direction threshold +/-1.0%.</x:v>
      </x:c>
      <x:c r="M253" s="10" t="n">
        <x:v>908</x:v>
      </x:c>
      <x:c r="N253" s="3" t="str">
        <x:v>{"recorded_at": 1789275418, "environment": "production", "regime": "ACTIVE / MIXED", "expectation": "Movement is sufficient, but market direction is divided.", "sample_size": 25, "up_pct": 40.0, "down_pct": 4.0, "active_pct": 60.0, "median_change_pct": 0.46, "median_range_pct": 4.34, "formula": "Liquid non-stable USDT pairs: volume &gt;= 10M; up/down threshold +/-1.5%; active logarithmic range threshold 3.0%; quiet active breadth threshold 35%; median direction threshold +/-1.0%."}</x:v>
      </x:c>
    </x:row>
    <x:row r="254" ht="21" customHeight="1">
      <x:c r="A254" s="8" t="n">
        <x:v>46278.34197916667</x:v>
      </x:c>
      <x:c r="B254" s="10" t="n">
        <x:v>1789276347</x:v>
      </x:c>
      <x:c r="C254" s="3" t="str">
        <x:v>production</x:v>
      </x:c>
      <x:c r="D254" s="3" t="str">
        <x:v>ACTIVE / MIXED</x:v>
      </x:c>
      <x:c r="E254" s="3" t="str">
        <x:v>Movement is sufficient, but market direction is divided.</x:v>
      </x:c>
      <x:c r="F254" s="10" t="n">
        <x:v>25</x:v>
      </x:c>
      <x:c r="G254" s="9" t="n">
        <x:v>40</x:v>
      </x:c>
      <x:c r="H254" s="9" t="n">
        <x:v>0</x:v>
      </x:c>
      <x:c r="I254" s="9" t="n">
        <x:v>60</x:v>
      </x:c>
      <x:c r="J254" s="9" t="n">
        <x:v>0.49</x:v>
      </x:c>
      <x:c r="K254" s="9" t="n">
        <x:v>4.34</x:v>
      </x:c>
      <x:c r="L254" s="3" t="str">
        <x:v>Liquid non-stable USDT pairs: volume &gt;= 10M; up/down threshold +/-1.5%; active logarithmic range threshold 3.0%; quiet active breadth threshold 35%; median direction threshold +/-1.0%.</x:v>
      </x:c>
      <x:c r="M254" s="10" t="n">
        <x:v>909</x:v>
      </x:c>
      <x:c r="N254" s="3" t="str">
        <x:v>{"recorded_at": 1789276347, "environment": "production", "regime": "ACTIVE / MIXED", "expectation": "Movement is sufficient, but market direction is divided.", "sample_size": 25, "up_pct": 40.0, "down_pct": 0.0, "active_pct": 60.0, "median_change_pct": 0.49, "median_range_pct": 4.34, "formula": "Liquid non-stable USDT pairs: volume &gt;= 10M; up/down threshold +/-1.5%; active logarithmic range threshold 3.0%; quiet active breadth threshold 35%; median direction threshold +/-1.0%."}</x:v>
      </x:c>
    </x:row>
    <x:row r="255" ht="21" customHeight="1">
      <x:c r="A255" s="8" t="n">
        <x:v>46278.35258101852</x:v>
      </x:c>
      <x:c r="B255" s="10" t="n">
        <x:v>1789277263</x:v>
      </x:c>
      <x:c r="C255" s="3" t="str">
        <x:v>production</x:v>
      </x:c>
      <x:c r="D255" s="3" t="str">
        <x:v>ACTIVE / MIXED</x:v>
      </x:c>
      <x:c r="E255" s="3" t="str">
        <x:v>Movement is sufficient, but market direction is divided.</x:v>
      </x:c>
      <x:c r="F255" s="10" t="n">
        <x:v>25</x:v>
      </x:c>
      <x:c r="G255" s="9" t="n">
        <x:v>40</x:v>
      </x:c>
      <x:c r="H255" s="9" t="n">
        <x:v>4</x:v>
      </x:c>
      <x:c r="I255" s="9" t="n">
        <x:v>60</x:v>
      </x:c>
      <x:c r="J255" s="9" t="n">
        <x:v>0.6</x:v>
      </x:c>
      <x:c r="K255" s="9" t="n">
        <x:v>4.34</x:v>
      </x:c>
      <x:c r="L255" s="3" t="str">
        <x:v>Liquid non-stable USDT pairs: volume &gt;= 10M; up/down threshold +/-1.5%; active logarithmic range threshold 3.0%; quiet active breadth threshold 35%; median direction threshold +/-1.0%.</x:v>
      </x:c>
      <x:c r="M255" s="10" t="n">
        <x:v>910</x:v>
      </x:c>
      <x:c r="N255" s="3" t="str">
        <x:v>{"recorded_at": 1789277263, "environment": "production", "regime": "ACTIVE / MIXED", "expectation": "Movement is sufficient, but market direction is divided.", "sample_size": 25, "up_pct": 40.0, "down_pct": 4.0, "active_pct": 60.0, "median_change_pct": 0.6, "median_range_pct": 4.34, "formula": "Liquid non-stable USDT pairs: volume &gt;= 10M; up/down threshold +/-1.5%; active logarithmic range threshold 3.0%; quiet active breadth threshold 35%; median direction threshold +/-1.0%."}</x:v>
      </x:c>
    </x:row>
    <x:row r="256" ht="21" customHeight="1">
      <x:c r="A256" s="8" t="n">
        <x:v>46278.36325231481</x:v>
      </x:c>
      <x:c r="B256" s="10" t="n">
        <x:v>1789278185</x:v>
      </x:c>
      <x:c r="C256" s="3" t="str">
        <x:v>production</x:v>
      </x:c>
      <x:c r="D256" s="3" t="str">
        <x:v>ACTIVE / MIXED</x:v>
      </x:c>
      <x:c r="E256" s="3" t="str">
        <x:v>Movement is sufficient, but market direction is divided.</x:v>
      </x:c>
      <x:c r="F256" s="10" t="n">
        <x:v>25</x:v>
      </x:c>
      <x:c r="G256" s="9" t="n">
        <x:v>44</x:v>
      </x:c>
      <x:c r="H256" s="9" t="n">
        <x:v>4</x:v>
      </x:c>
      <x:c r="I256" s="9" t="n">
        <x:v>60</x:v>
      </x:c>
      <x:c r="J256" s="9" t="n">
        <x:v>0.47</x:v>
      </x:c>
      <x:c r="K256" s="9" t="n">
        <x:v>4.34</x:v>
      </x:c>
      <x:c r="L256" s="3" t="str">
        <x:v>Liquid non-stable USDT pairs: volume &gt;= 10M; up/down threshold +/-1.5%; active logarithmic range threshold 3.0%; quiet active breadth threshold 35%; median direction threshold +/-1.0%.</x:v>
      </x:c>
      <x:c r="M256" s="10" t="n">
        <x:v>911</x:v>
      </x:c>
      <x:c r="N256" s="3" t="str">
        <x:v>{"recorded_at": 1789278185, "environment": "production", "regime": "ACTIVE / MIXED", "expectation": "Movement is sufficient, but market direction is divided.", "sample_size": 25, "up_pct": 44.0, "down_pct": 4.0, "active_pct": 60.0, "median_change_pct": 0.47, "median_range_pct": 4.34, "formula": "Liquid non-stable USDT pairs: volume &gt;= 10M; up/down threshold +/-1.5%; active logarithmic range threshold 3.0%; quiet active breadth threshold 35%; median direction threshold +/-1.0%."}</x:v>
      </x:c>
    </x:row>
    <x:row r="257" ht="21" customHeight="1">
      <x:c r="A257" s="8" t="n">
        <x:v>46278.37396990741</x:v>
      </x:c>
      <x:c r="B257" s="10" t="n">
        <x:v>1789279111</x:v>
      </x:c>
      <x:c r="C257" s="3" t="str">
        <x:v>production</x:v>
      </x:c>
      <x:c r="D257" s="3" t="str">
        <x:v>ACTIVE / MIXED</x:v>
      </x:c>
      <x:c r="E257" s="3" t="str">
        <x:v>Movement is sufficient, but market direction is divided.</x:v>
      </x:c>
      <x:c r="F257" s="10" t="n">
        <x:v>25</x:v>
      </x:c>
      <x:c r="G257" s="9" t="n">
        <x:v>44</x:v>
      </x:c>
      <x:c r="H257" s="9" t="n">
        <x:v>4</x:v>
      </x:c>
      <x:c r="I257" s="9" t="n">
        <x:v>60</x:v>
      </x:c>
      <x:c r="J257" s="9" t="n">
        <x:v>0.52</x:v>
      </x:c>
      <x:c r="K257" s="9" t="n">
        <x:v>4.34</x:v>
      </x:c>
      <x:c r="L257" s="3" t="str">
        <x:v>Liquid non-stable USDT pairs: volume &gt;= 10M; up/down threshold +/-1.5%; active logarithmic range threshold 3.0%; quiet active breadth threshold 35%; median direction threshold +/-1.0%.</x:v>
      </x:c>
      <x:c r="M257" s="10" t="n">
        <x:v>912</x:v>
      </x:c>
      <x:c r="N257" s="3" t="str">
        <x:v>{"recorded_at": 1789279111, "environment": "production", "regime": "ACTIVE / MIXED", "expectation": "Movement is sufficient, but market direction is divided.", "sample_size": 25, "up_pct": 44.0, "down_pct": 4.0, "active_pct": 60.0, "median_change_pct": 0.52, "median_range_pct": 4.34, "formula": "Liquid non-stable USDT pairs: volume &gt;= 10M; up/down threshold +/-1.5%; active logarithmic range threshold 3.0%; quiet active breadth threshold 35%; median direction threshold +/-1.0%."}</x:v>
      </x:c>
    </x:row>
    <x:row r="258" ht="21" customHeight="1">
      <x:c r="A258" s="8" t="n">
        <x:v>46278.38438657407</x:v>
      </x:c>
      <x:c r="B258" s="10" t="n">
        <x:v>1789280011</x:v>
      </x:c>
      <x:c r="C258" s="3" t="str">
        <x:v>production</x:v>
      </x:c>
      <x:c r="D258" s="3" t="str">
        <x:v>ACTIVE / MIXED</x:v>
      </x:c>
      <x:c r="E258" s="3" t="str">
        <x:v>Movement is sufficient, but market direction is divided.</x:v>
      </x:c>
      <x:c r="F258" s="10" t="n">
        <x:v>26</x:v>
      </x:c>
      <x:c r="G258" s="9" t="n">
        <x:v>42.3</x:v>
      </x:c>
      <x:c r="H258" s="9" t="n">
        <x:v>3.8</x:v>
      </x:c>
      <x:c r="I258" s="9" t="n">
        <x:v>61.5</x:v>
      </x:c>
      <x:c r="J258" s="9" t="n">
        <x:v>0.44</x:v>
      </x:c>
      <x:c r="K258" s="9" t="n">
        <x:v>4.56</x:v>
      </x:c>
      <x:c r="L258" s="3" t="str">
        <x:v>Liquid non-stable USDT pairs: volume &gt;= 10M; up/down threshold +/-1.5%; active logarithmic range threshold 3.0%; quiet active breadth threshold 35%; median direction threshold +/-1.0%.</x:v>
      </x:c>
      <x:c r="M258" s="10" t="n">
        <x:v>913</x:v>
      </x:c>
      <x:c r="N258" s="3" t="str">
        <x:v>{"recorded_at": 1789280011, "environment": "production", "regime": "ACTIVE / MIXED", "expectation": "Movement is sufficient, but market direction is divided.", "sample_size": 26, "up_pct": 42.3, "down_pct": 3.8, "active_pct": 61.5, "median_change_pct": 0.44, "median_range_pct": 4.56, "formula": "Liquid non-stable USDT pairs: volume &gt;= 10M; up/down threshold +/-1.5%; active logarithmic range threshold 3.0%; quiet active breadth threshold 35%; median direction threshold +/-1.0%."}</x:v>
      </x:c>
    </x:row>
    <x:row r="259" ht="21" customHeight="1">
      <x:c r="A259" s="8" t="n">
        <x:v>46278.394837962966</x:v>
      </x:c>
      <x:c r="B259" s="10" t="n">
        <x:v>1789280914</x:v>
      </x:c>
      <x:c r="C259" s="3" t="str">
        <x:v>production</x:v>
      </x:c>
      <x:c r="D259" s="3" t="str">
        <x:v>ACTIVE / MIXED</x:v>
      </x:c>
      <x:c r="E259" s="3" t="str">
        <x:v>Movement is sufficient, but market direction is divided.</x:v>
      </x:c>
      <x:c r="F259" s="10" t="n">
        <x:v>26</x:v>
      </x:c>
      <x:c r="G259" s="9" t="n">
        <x:v>38.5</x:v>
      </x:c>
      <x:c r="H259" s="9" t="n">
        <x:v>3.8</x:v>
      </x:c>
      <x:c r="I259" s="9" t="n">
        <x:v>61.5</x:v>
      </x:c>
      <x:c r="J259" s="9" t="n">
        <x:v>0.39</x:v>
      </x:c>
      <x:c r="K259" s="9" t="n">
        <x:v>4.56</x:v>
      </x:c>
      <x:c r="L259" s="3" t="str">
        <x:v>Liquid non-stable USDT pairs: volume &gt;= 10M; up/down threshold +/-1.5%; active logarithmic range threshold 3.0%; quiet active breadth threshold 35%; median direction threshold +/-1.0%.</x:v>
      </x:c>
      <x:c r="M259" s="10" t="n">
        <x:v>914</x:v>
      </x:c>
      <x:c r="N259" s="3" t="str">
        <x:v>{"recorded_at": 1789280914, "environment": "production", "regime": "ACTIVE / MIXED", "expectation": "Movement is sufficient, but market direction is divided.", "sample_size": 26, "up_pct": 38.5, "down_pct": 3.8, "active_pct": 61.5, "median_change_pct": 0.39, "median_range_pct": 4.56, "formula": "Liquid non-stable USDT pairs: volume &gt;= 10M; up/down threshold +/-1.5%; active logarithmic range threshold 3.0%; quiet active breadth threshold 35%; median direction threshold +/-1.0%."}</x:v>
      </x:c>
    </x:row>
    <x:row r="260" ht="21" customHeight="1">
      <x:c r="A260" s="8" t="n">
        <x:v>46278.405277777776</x:v>
      </x:c>
      <x:c r="B260" s="10" t="n">
        <x:v>1789281816</x:v>
      </x:c>
      <x:c r="C260" s="3" t="str">
        <x:v>production</x:v>
      </x:c>
      <x:c r="D260" s="3" t="str">
        <x:v>ACTIVE / MIXED</x:v>
      </x:c>
      <x:c r="E260" s="3" t="str">
        <x:v>Movement is sufficient, but market direction is divided.</x:v>
      </x:c>
      <x:c r="F260" s="10" t="n">
        <x:v>26</x:v>
      </x:c>
      <x:c r="G260" s="9" t="n">
        <x:v>38.5</x:v>
      </x:c>
      <x:c r="H260" s="9" t="n">
        <x:v>7.7</x:v>
      </x:c>
      <x:c r="I260" s="9" t="n">
        <x:v>61.5</x:v>
      </x:c>
      <x:c r="J260" s="9" t="n">
        <x:v>0.06</x:v>
      </x:c>
      <x:c r="K260" s="9" t="n">
        <x:v>4.56</x:v>
      </x:c>
      <x:c r="L260" s="3" t="str">
        <x:v>Liquid non-stable USDT pairs: volume &gt;= 10M; up/down threshold +/-1.5%; active logarithmic range threshold 3.0%; quiet active breadth threshold 35%; median direction threshold +/-1.0%.</x:v>
      </x:c>
      <x:c r="M260" s="10" t="n">
        <x:v>915</x:v>
      </x:c>
      <x:c r="N260" s="3" t="str">
        <x:v>{"recorded_at": 1789281816, "environment": "production", "regime": "ACTIVE / MIXED", "expectation": "Movement is sufficient, but market direction is divided.", "sample_size": 26, "up_pct": 38.5, "down_pct": 7.7, "active_pct": 61.5, "median_change_pct": 0.06, "median_range_pct": 4.56, "formula": "Liquid non-stable USDT pairs: volume &gt;= 10M; up/down threshold +/-1.5%; active logarithmic range threshold 3.0%; quiet active breadth threshold 35%; median direction threshold +/-1.0%."}</x:v>
      </x:c>
    </x:row>
    <x:row r="261" ht="21" customHeight="1">
      <x:c r="A261" s="8" t="n">
        <x:v>46278.416041666664</x:v>
      </x:c>
      <x:c r="B261" s="10" t="n">
        <x:v>1789282746</x:v>
      </x:c>
      <x:c r="C261" s="3" t="str">
        <x:v>production</x:v>
      </x:c>
      <x:c r="D261" s="3" t="str">
        <x:v>ACTIVE / MIXED</x:v>
      </x:c>
      <x:c r="E261" s="3" t="str">
        <x:v>Movement is sufficient, but market direction is divided.</x:v>
      </x:c>
      <x:c r="F261" s="10" t="n">
        <x:v>27</x:v>
      </x:c>
      <x:c r="G261" s="9" t="n">
        <x:v>33.3</x:v>
      </x:c>
      <x:c r="H261" s="9" t="n">
        <x:v>11.1</x:v>
      </x:c>
      <x:c r="I261" s="9" t="n">
        <x:v>63</x:v>
      </x:c>
      <x:c r="J261" s="9" t="n">
        <x:v>-0.04</x:v>
      </x:c>
      <x:c r="K261" s="9" t="n">
        <x:v>4.77</x:v>
      </x:c>
      <x:c r="L261" s="3" t="str">
        <x:v>Liquid non-stable USDT pairs: volume &gt;= 10M; up/down threshold +/-1.5%; active logarithmic range threshold 3.0%; quiet active breadth threshold 35%; median direction threshold +/-1.0%.</x:v>
      </x:c>
      <x:c r="M261" s="10" t="n">
        <x:v>916</x:v>
      </x:c>
      <x:c r="N261" s="3" t="str">
        <x:v>{"recorded_at": 1789282746, "environment": "production", "regime": "ACTIVE / MIXED", "expectation": "Movement is sufficient, but market direction is divided.", "sample_size": 27, "up_pct": 33.3, "down_pct": 11.1, "active_pct": 63.0, "median_change_pct": -0.04, "median_range_pct": 4.77, "formula": "Liquid non-stable USDT pairs: volume &gt;= 10M; up/down threshold +/-1.5%; active logarithmic range threshold 3.0%; quiet active breadth threshold 35%; median direction threshold +/-1.0%."}</x:v>
      </x:c>
    </x:row>
    <x:row r="262" ht="21" customHeight="1">
      <x:c r="A262" s="8" t="n">
        <x:v>46278.42680555556</x:v>
      </x:c>
      <x:c r="B262" s="10" t="n">
        <x:v>1789283676</x:v>
      </x:c>
      <x:c r="C262" s="3" t="str">
        <x:v>production</x:v>
      </x:c>
      <x:c r="D262" s="3" t="str">
        <x:v>ACTIVE / MIXED</x:v>
      </x:c>
      <x:c r="E262" s="3" t="str">
        <x:v>Movement is sufficient, but market direction is divided.</x:v>
      </x:c>
      <x:c r="F262" s="10" t="n">
        <x:v>27</x:v>
      </x:c>
      <x:c r="G262" s="9" t="n">
        <x:v>25.9</x:v>
      </x:c>
      <x:c r="H262" s="9" t="n">
        <x:v>11.1</x:v>
      </x:c>
      <x:c r="I262" s="9" t="n">
        <x:v>63</x:v>
      </x:c>
      <x:c r="J262" s="9" t="n">
        <x:v>0</x:v>
      </x:c>
      <x:c r="K262" s="9" t="n">
        <x:v>4.69</x:v>
      </x:c>
      <x:c r="L262" s="3" t="str">
        <x:v>Liquid non-stable USDT pairs: volume &gt;= 10M; up/down threshold +/-1.5%; active logarithmic range threshold 3.0%; quiet active breadth threshold 35%; median direction threshold +/-1.0%.</x:v>
      </x:c>
      <x:c r="M262" s="10" t="n">
        <x:v>917</x:v>
      </x:c>
      <x:c r="N262" s="3" t="str">
        <x:v>{"recorded_at": 1789283676, "environment": "production", "regime": "ACTIVE / MIXED", "expectation": "Movement is sufficient, but market direction is divided.", "sample_size": 27, "up_pct": 25.9, "down_pct": 11.1, "active_pct": 63.0, "median_change_pct": 0.0, "median_range_pct": 4.69, "formula": "Liquid non-stable USDT pairs: volume &gt;= 10M; up/down threshold +/-1.5%; active logarithmic range threshold 3.0%; quiet active breadth threshold 35%; median direction threshold +/-1.0%."}</x:v>
      </x:c>
    </x:row>
    <x:row r="263" ht="21" customHeight="1">
      <x:c r="A263" s="8" t="n">
        <x:v>46278.4375462963</x:v>
      </x:c>
      <x:c r="B263" s="10" t="n">
        <x:v>1789284604</x:v>
      </x:c>
      <x:c r="C263" s="3" t="str">
        <x:v>production</x:v>
      </x:c>
      <x:c r="D263" s="3" t="str">
        <x:v>ACTIVE / MIXED</x:v>
      </x:c>
      <x:c r="E263" s="3" t="str">
        <x:v>Movement is sufficient, but market direction is divided.</x:v>
      </x:c>
      <x:c r="F263" s="10" t="n">
        <x:v>27</x:v>
      </x:c>
      <x:c r="G263" s="9" t="n">
        <x:v>29.6</x:v>
      </x:c>
      <x:c r="H263" s="9" t="n">
        <x:v>14.8</x:v>
      </x:c>
      <x:c r="I263" s="9" t="n">
        <x:v>63</x:v>
      </x:c>
      <x:c r="J263" s="9" t="n">
        <x:v>-0.17</x:v>
      </x:c>
      <x:c r="K263" s="9" t="n">
        <x:v>4.69</x:v>
      </x:c>
      <x:c r="L263" s="3" t="str">
        <x:v>Liquid non-stable USDT pairs: volume &gt;= 10M; up/down threshold +/-1.5%; active logarithmic range threshold 3.0%; quiet active breadth threshold 35%; median direction threshold +/-1.0%.</x:v>
      </x:c>
      <x:c r="M263" s="10" t="n">
        <x:v>918</x:v>
      </x:c>
      <x:c r="N263" s="3" t="str">
        <x:v>{"recorded_at": 1789284604, "environment": "production", "regime": "ACTIVE / MIXED", "expectation": "Movement is sufficient, but market direction is divided.", "sample_size": 27, "up_pct": 29.6, "down_pct": 14.8, "active_pct": 63.0, "median_change_pct": -0.17, "median_range_pct": 4.69, "formula": "Liquid non-stable USDT pairs: volume &gt;= 10M; up/down threshold +/-1.5%; active logarithmic range threshold 3.0%; quiet active breadth threshold 35%; median direction threshold +/-1.0%."}</x:v>
      </x:c>
    </x:row>
    <x:row r="264" ht="21" customHeight="1">
      <x:c r="A264" s="8" t="n">
        <x:v>46278.448229166665</x:v>
      </x:c>
      <x:c r="B264" s="10" t="n">
        <x:v>1789285527</x:v>
      </x:c>
      <x:c r="C264" s="3" t="str">
        <x:v>production</x:v>
      </x:c>
      <x:c r="D264" s="3" t="str">
        <x:v>ACTIVE / MIXED</x:v>
      </x:c>
      <x:c r="E264" s="3" t="str">
        <x:v>Movement is sufficient, but market direction is divided.</x:v>
      </x:c>
      <x:c r="F264" s="10" t="n">
        <x:v>27</x:v>
      </x:c>
      <x:c r="G264" s="9" t="n">
        <x:v>29.6</x:v>
      </x:c>
      <x:c r="H264" s="9" t="n">
        <x:v>18.5</x:v>
      </x:c>
      <x:c r="I264" s="9" t="n">
        <x:v>63</x:v>
      </x:c>
      <x:c r="J264" s="9" t="n">
        <x:v>-0.16</x:v>
      </x:c>
      <x:c r="K264" s="9" t="n">
        <x:v>4.63</x:v>
      </x:c>
      <x:c r="L264" s="3" t="str">
        <x:v>Liquid non-stable USDT pairs: volume &gt;= 10M; up/down threshold +/-1.5%; active logarithmic range threshold 3.0%; quiet active breadth threshold 35%; median direction threshold +/-1.0%.</x:v>
      </x:c>
      <x:c r="M264" s="10" t="n">
        <x:v>919</x:v>
      </x:c>
      <x:c r="N264" s="3" t="str">
        <x:v>{"recorded_at": 1789285527, "environment": "production", "regime": "ACTIVE / MIXED", "expectation": "Movement is sufficient, but market direction is divided.", "sample_size": 27, "up_pct": 29.6, "down_pct": 18.5, "active_pct": 63.0, "median_change_pct": -0.16, "median_range_pct": 4.63, "formula": "Liquid non-stable USDT pairs: volume &gt;= 10M; up/down threshold +/-1.5%; active logarithmic range threshold 3.0%; quiet active breadth threshold 35%; median direction threshold +/-1.0%."}</x:v>
      </x:c>
    </x:row>
    <x:row r="265" ht="21" customHeight="1">
      <x:c r="A265" s="8" t="n">
        <x:v>46278.458761574075</x:v>
      </x:c>
      <x:c r="B265" s="10" t="n">
        <x:v>1789286437</x:v>
      </x:c>
      <x:c r="C265" s="3" t="str">
        <x:v>production</x:v>
      </x:c>
      <x:c r="D265" s="3" t="str">
        <x:v>ACTIVE / MIXED</x:v>
      </x:c>
      <x:c r="E265" s="3" t="str">
        <x:v>Movement is sufficient, but market direction is divided.</x:v>
      </x:c>
      <x:c r="F265" s="10" t="n">
        <x:v>27</x:v>
      </x:c>
      <x:c r="G265" s="9" t="n">
        <x:v>25.9</x:v>
      </x:c>
      <x:c r="H265" s="9" t="n">
        <x:v>22.2</x:v>
      </x:c>
      <x:c r="I265" s="9" t="n">
        <x:v>63</x:v>
      </x:c>
      <x:c r="J265" s="9" t="n">
        <x:v>-0.25</x:v>
      </x:c>
      <x:c r="K265" s="9" t="n">
        <x:v>4.63</x:v>
      </x:c>
      <x:c r="L265" s="3" t="str">
        <x:v>Liquid non-stable USDT pairs: volume &gt;= 10M; up/down threshold +/-1.5%; active logarithmic range threshold 3.0%; quiet active breadth threshold 35%; median direction threshold +/-1.0%.</x:v>
      </x:c>
      <x:c r="M265" s="10" t="n">
        <x:v>920</x:v>
      </x:c>
      <x:c r="N265" s="3" t="str">
        <x:v>{"recorded_at": 1789286437, "environment": "production", "regime": "ACTIVE / MIXED", "expectation": "Movement is sufficient, but market direction is divided.", "sample_size": 27, "up_pct": 25.9, "down_pct": 22.2, "active_pct": 63.0, "median_change_pct": -0.25, "median_range_pct": 4.63, "formula": "Liquid non-stable USDT pairs: volume &gt;= 10M; up/down threshold +/-1.5%; active logarithmic range threshold 3.0%; quiet active breadth threshold 35%; median direction threshold +/-1.0%."}</x:v>
      </x:c>
    </x:row>
    <x:row r="266" ht="21" customHeight="1">
      <x:c r="A266" s="8" t="n">
        <x:v>46278.46921296296</x:v>
      </x:c>
      <x:c r="B266" s="10" t="n">
        <x:v>1789287340</x:v>
      </x:c>
      <x:c r="C266" s="3" t="str">
        <x:v>production</x:v>
      </x:c>
      <x:c r="D266" s="3" t="str">
        <x:v>ACTIVE / MIXED</x:v>
      </x:c>
      <x:c r="E266" s="3" t="str">
        <x:v>Movement is sufficient, but market direction is divided.</x:v>
      </x:c>
      <x:c r="F266" s="10" t="n">
        <x:v>27</x:v>
      </x:c>
      <x:c r="G266" s="9" t="n">
        <x:v>22.2</x:v>
      </x:c>
      <x:c r="H266" s="9" t="n">
        <x:v>37</x:v>
      </x:c>
      <x:c r="I266" s="9" t="n">
        <x:v>63</x:v>
      </x:c>
      <x:c r="J266" s="9" t="n">
        <x:v>-0.84</x:v>
      </x:c>
      <x:c r="K266" s="9" t="n">
        <x:v>4.77</x:v>
      </x:c>
      <x:c r="L266" s="3" t="str">
        <x:v>Liquid non-stable USDT pairs: volume &gt;= 10M; up/down threshold +/-1.5%; active logarithmic range threshold 3.0%; quiet active breadth threshold 35%; median direction threshold +/-1.0%.</x:v>
      </x:c>
      <x:c r="M266" s="10" t="n">
        <x:v>921</x:v>
      </x:c>
      <x:c r="N266" s="3" t="str">
        <x:v>{"recorded_at": 1789287340, "environment": "production", "regime": "ACTIVE / MIXED", "expectation": "Movement is sufficient, but market direction is divided.", "sample_size": 27, "up_pct": 22.2, "down_pct": 37.0, "active_pct": 63.0, "median_change_pct": -0.84, "median_range_pct": 4.77, "formula": "Liquid non-stable USDT pairs: volume &gt;= 10M; up/down threshold +/-1.5%; active logarithmic range threshold 3.0%; quiet active breadth threshold 35%; median direction threshold +/-1.0%."}</x:v>
      </x:c>
    </x:row>
    <x:row r="267" ht="21" customHeight="1">
      <x:c r="A267" s="8" t="n">
        <x:v>46278.47990740741</x:v>
      </x:c>
      <x:c r="B267" s="10" t="n">
        <x:v>1789288264</x:v>
      </x:c>
      <x:c r="C267" s="3" t="str">
        <x:v>production</x:v>
      </x:c>
      <x:c r="D267" s="3" t="str">
        <x:v>ACTIVE / WEAK</x:v>
      </x:c>
      <x:c r="E267" s="3" t="str">
        <x:v>Broad selling pressure is elevated; new longs need caution.</x:v>
      </x:c>
      <x:c r="F267" s="10" t="n">
        <x:v>27</x:v>
      </x:c>
      <x:c r="G267" s="9" t="n">
        <x:v>25.9</x:v>
      </x:c>
      <x:c r="H267" s="9" t="n">
        <x:v>40.7</x:v>
      </x:c>
      <x:c r="I267" s="9" t="n">
        <x:v>63</x:v>
      </x:c>
      <x:c r="J267" s="9" t="n">
        <x:v>-1.03</x:v>
      </x:c>
      <x:c r="K267" s="9" t="n">
        <x:v>4.77</x:v>
      </x:c>
      <x:c r="L267" s="3" t="str">
        <x:v>Liquid non-stable USDT pairs: volume &gt;= 10M; up/down threshold +/-1.5%; active logarithmic range threshold 3.0%; quiet active breadth threshold 35%; median direction threshold +/-1.0%.</x:v>
      </x:c>
      <x:c r="M267" s="10" t="n">
        <x:v>922</x:v>
      </x:c>
      <x:c r="N267" s="3" t="str">
        <x:v>{"recorded_at": 1789288264, "environment": "production", "regime": "ACTIVE / WEAK", "expectation": "Broad selling pressure is elevated; new longs need caution.", "sample_size": 27, "up_pct": 25.9, "down_pct": 40.7, "active_pct": 63.0, "median_change_pct": -1.03, "median_range_pct": 4.77, "formula": "Liquid non-stable USDT pairs: volume &gt;= 10M; up/down threshold +/-1.5%; active logarithmic range threshold 3.0%; quiet active breadth threshold 35%; median direction threshold +/-1.0%."}</x:v>
      </x:c>
    </x:row>
    <x:row r="268" ht="21" customHeight="1">
      <x:c r="A268" s="8" t="n">
        <x:v>46278.49055555555</x:v>
      </x:c>
      <x:c r="B268" s="10" t="n">
        <x:v>1789289184</x:v>
      </x:c>
      <x:c r="C268" s="3" t="str">
        <x:v>production</x:v>
      </x:c>
      <x:c r="D268" s="3" t="str">
        <x:v>ACTIVE / WEAK</x:v>
      </x:c>
      <x:c r="E268" s="3" t="str">
        <x:v>Broad selling pressure is elevated; new longs need caution.</x:v>
      </x:c>
      <x:c r="F268" s="10" t="n">
        <x:v>27</x:v>
      </x:c>
      <x:c r="G268" s="9" t="n">
        <x:v>18.5</x:v>
      </x:c>
      <x:c r="H268" s="9" t="n">
        <x:v>51.9</x:v>
      </x:c>
      <x:c r="I268" s="9" t="n">
        <x:v>74.1</x:v>
      </x:c>
      <x:c r="J268" s="9" t="n">
        <x:v>-1.57</x:v>
      </x:c>
      <x:c r="K268" s="9" t="n">
        <x:v>5.29</x:v>
      </x:c>
      <x:c r="L268" s="3" t="str">
        <x:v>Liquid non-stable USDT pairs: volume &gt;= 10M; up/down threshold +/-1.5%; active logarithmic range threshold 3.0%; quiet active breadth threshold 35%; median direction threshold +/-1.0%.</x:v>
      </x:c>
      <x:c r="M268" s="10" t="n">
        <x:v>923</x:v>
      </x:c>
      <x:c r="N268" s="3" t="str">
        <x:v>{"recorded_at": 1789289184, "environment": "production", "regime": "ACTIVE / WEAK", "expectation": "Broad selling pressure is elevated; new longs need caution.", "sample_size": 27, "up_pct": 18.5, "down_pct": 51.9, "active_pct": 74.1, "median_change_pct": -1.57, "median_range_pct": 5.29, "formula": "Liquid non-stable USDT pairs: volume &gt;= 10M; up/down threshold +/-1.5%; active logarithmic range threshold 3.0%; quiet active breadth threshold 35%; median direction threshold +/-1.0%."}</x:v>
      </x:c>
    </x:row>
    <x:row r="269" ht="21" customHeight="1">
      <x:c r="A269" s="8" t="n">
        <x:v>46278.50121527778</x:v>
      </x:c>
      <x:c r="B269" s="10" t="n">
        <x:v>1789290105</x:v>
      </x:c>
      <x:c r="C269" s="3" t="str">
        <x:v>production</x:v>
      </x:c>
      <x:c r="D269" s="3" t="str">
        <x:v>ACTIVE / WEAK</x:v>
      </x:c>
      <x:c r="E269" s="3" t="str">
        <x:v>Broad selling pressure is elevated; new longs need caution.</x:v>
      </x:c>
      <x:c r="F269" s="10" t="n">
        <x:v>28</x:v>
      </x:c>
      <x:c r="G269" s="9" t="n">
        <x:v>17.9</x:v>
      </x:c>
      <x:c r="H269" s="9" t="n">
        <x:v>46.4</x:v>
      </x:c>
      <x:c r="I269" s="9" t="n">
        <x:v>75</x:v>
      </x:c>
      <x:c r="J269" s="9" t="n">
        <x:v>-1.42</x:v>
      </x:c>
      <x:c r="K269" s="9" t="n">
        <x:v>5.44</x:v>
      </x:c>
      <x:c r="L269" s="3" t="str">
        <x:v>Liquid non-stable USDT pairs: volume &gt;= 10M; up/down threshold +/-1.5%; active logarithmic range threshold 3.0%; quiet active breadth threshold 35%; median direction threshold +/-1.0%.</x:v>
      </x:c>
      <x:c r="M269" s="10" t="n">
        <x:v>924</x:v>
      </x:c>
      <x:c r="N269" s="3" t="str">
        <x:v>{"recorded_at": 1789290105, "environment": "production", "regime": "ACTIVE / WEAK", "expectation": "Broad selling pressure is elevated; new longs need caution.", "sample_size": 28, "up_pct": 17.9, "down_pct": 46.4, "active_pct": 75.0, "median_change_pct": -1.42, "median_range_pct": 5.44, "formula": "Liquid non-stable USDT pairs: volume &gt;= 10M; up/down threshold +/-1.5%; active logarithmic range threshold 3.0%; quiet active breadth threshold 35%; median direction threshold +/-1.0%."}</x:v>
      </x:c>
    </x:row>
    <x:row r="270" ht="21" customHeight="1">
      <x:c r="A270" s="8" t="n">
        <x:v>46278.51181712963</x:v>
      </x:c>
      <x:c r="B270" s="10" t="n">
        <x:v>1789291021</x:v>
      </x:c>
      <x:c r="C270" s="3" t="str">
        <x:v>production</x:v>
      </x:c>
      <x:c r="D270" s="3" t="str">
        <x:v>ACTIVE / WEAK</x:v>
      </x:c>
      <x:c r="E270" s="3" t="str">
        <x:v>Broad selling pressure is elevated; new longs need caution.</x:v>
      </x:c>
      <x:c r="F270" s="10" t="n">
        <x:v>27</x:v>
      </x:c>
      <x:c r="G270" s="9" t="n">
        <x:v>18.5</x:v>
      </x:c>
      <x:c r="H270" s="9" t="n">
        <x:v>48.1</x:v>
      </x:c>
      <x:c r="I270" s="9" t="n">
        <x:v>74.1</x:v>
      </x:c>
      <x:c r="J270" s="9" t="n">
        <x:v>-1.48</x:v>
      </x:c>
      <x:c r="K270" s="9" t="n">
        <x:v>5.29</x:v>
      </x:c>
      <x:c r="L270" s="3" t="str">
        <x:v>Liquid non-stable USDT pairs: volume &gt;= 10M; up/down threshold +/-1.5%; active logarithmic range threshold 3.0%; quiet active breadth threshold 35%; median direction threshold +/-1.0%.</x:v>
      </x:c>
      <x:c r="M270" s="10" t="n">
        <x:v>925</x:v>
      </x:c>
      <x:c r="N270" s="3" t="str">
        <x:v>{"recorded_at": 1789291021, "environment": "production", "regime": "ACTIVE / WEAK", "expectation": "Broad selling pressure is elevated; new longs need caution.", "sample_size": 27, "up_pct": 18.5, "down_pct": 48.1, "active_pct": 74.1, "median_change_pct": -1.48, "median_range_pct": 5.29, "formula": "Liquid non-stable USDT pairs: volume &gt;= 10M; up/down threshold +/-1.5%; active logarithmic range threshold 3.0%; quiet active breadth threshold 35%; median direction threshold +/-1.0%."}</x:v>
      </x:c>
    </x:row>
    <x:row r="271" ht="21" customHeight="1">
      <x:c r="A271" s="8" t="n">
        <x:v>46278.52243055555</x:v>
      </x:c>
      <x:c r="B271" s="10" t="n">
        <x:v>1789291938</x:v>
      </x:c>
      <x:c r="C271" s="3" t="str">
        <x:v>production</x:v>
      </x:c>
      <x:c r="D271" s="3" t="str">
        <x:v>ACTIVE / WEAK</x:v>
      </x:c>
      <x:c r="E271" s="3" t="str">
        <x:v>Broad selling pressure is elevated; new longs need caution.</x:v>
      </x:c>
      <x:c r="F271" s="10" t="n">
        <x:v>28</x:v>
      </x:c>
      <x:c r="G271" s="9" t="n">
        <x:v>17.9</x:v>
      </x:c>
      <x:c r="H271" s="9" t="n">
        <x:v>57.1</x:v>
      </x:c>
      <x:c r="I271" s="9" t="n">
        <x:v>75</x:v>
      </x:c>
      <x:c r="J271" s="9" t="n">
        <x:v>-2.14</x:v>
      </x:c>
      <x:c r="K271" s="9" t="n">
        <x:v>5.85</x:v>
      </x:c>
      <x:c r="L271" s="3" t="str">
        <x:v>Liquid non-stable USDT pairs: volume &gt;= 10M; up/down threshold +/-1.5%; active logarithmic range threshold 3.0%; quiet active breadth threshold 35%; median direction threshold +/-1.0%.</x:v>
      </x:c>
      <x:c r="M271" s="10" t="n">
        <x:v>926</x:v>
      </x:c>
      <x:c r="N271" s="3" t="str">
        <x:v>{"recorded_at": 1789291938, "environment": "production", "regime": "ACTIVE / WEAK", "expectation": "Broad selling pressure is elevated; new longs need caution.", "sample_size": 28, "up_pct": 17.9, "down_pct": 57.1, "active_pct": 75.0, "median_change_pct": -2.14, "median_range_pct": 5.85, "formula": "Liquid non-stable USDT pairs: volume &gt;= 10M; up/down threshold +/-1.5%; active logarithmic range threshold 3.0%; quiet active breadth threshold 35%; median direction threshold +/-1.0%."}</x:v>
      </x:c>
    </x:row>
    <x:row r="272" ht="21" customHeight="1">
      <x:c r="A272" s="8" t="n">
        <x:v>46278.53318287037</x:v>
      </x:c>
      <x:c r="B272" s="10" t="n">
        <x:v>1789292867</x:v>
      </x:c>
      <x:c r="C272" s="3" t="str">
        <x:v>production</x:v>
      </x:c>
      <x:c r="D272" s="3" t="str">
        <x:v>ACTIVE / WEAK</x:v>
      </x:c>
      <x:c r="E272" s="3" t="str">
        <x:v>Broad selling pressure is elevated; new longs need caution.</x:v>
      </x:c>
      <x:c r="F272" s="10" t="n">
        <x:v>28</x:v>
      </x:c>
      <x:c r="G272" s="9" t="n">
        <x:v>17.9</x:v>
      </x:c>
      <x:c r="H272" s="9" t="n">
        <x:v>53.6</x:v>
      </x:c>
      <x:c r="I272" s="9" t="n">
        <x:v>75</x:v>
      </x:c>
      <x:c r="J272" s="9" t="n">
        <x:v>-1.6</x:v>
      </x:c>
      <x:c r="K272" s="9" t="n">
        <x:v>5.93</x:v>
      </x:c>
      <x:c r="L272" s="3" t="str">
        <x:v>Liquid non-stable USDT pairs: volume &gt;= 10M; up/down threshold +/-1.5%; active logarithmic range threshold 3.0%; quiet active breadth threshold 35%; median direction threshold +/-1.0%.</x:v>
      </x:c>
      <x:c r="M272" s="10" t="n">
        <x:v>927</x:v>
      </x:c>
      <x:c r="N272" s="3" t="str">
        <x:v>{"recorded_at": 1789292867, "environment": "production", "regime": "ACTIVE / WEAK", "expectation": "Broad selling pressure is elevated; new longs need caution.", "sample_size": 28, "up_pct": 17.9, "down_pct": 53.6, "active_pct": 75.0, "median_change_pct": -1.6, "median_range_pct": 5.93, "formula": "Liquid non-stable USDT pairs: volume &gt;= 10M; up/down threshold +/-1.5%; active logarithmic range threshold 3.0%; quiet active breadth threshold 35%; median direction threshold +/-1.0%."}</x:v>
      </x:c>
    </x:row>
    <x:row r="273" ht="21" customHeight="1">
      <x:c r="A273" s="8" t="n">
        <x:v>46278.543958333335</x:v>
      </x:c>
      <x:c r="B273" s="10" t="n">
        <x:v>1789293798</x:v>
      </x:c>
      <x:c r="C273" s="3" t="str">
        <x:v>production</x:v>
      </x:c>
      <x:c r="D273" s="3" t="str">
        <x:v>ACTIVE / WEAK</x:v>
      </x:c>
      <x:c r="E273" s="3" t="str">
        <x:v>Broad selling pressure is elevated; new longs need caution.</x:v>
      </x:c>
      <x:c r="F273" s="10" t="n">
        <x:v>28</x:v>
      </x:c>
      <x:c r="G273" s="9" t="n">
        <x:v>21.4</x:v>
      </x:c>
      <x:c r="H273" s="9" t="n">
        <x:v>53.6</x:v>
      </x:c>
      <x:c r="I273" s="9" t="n">
        <x:v>75</x:v>
      </x:c>
      <x:c r="J273" s="9" t="n">
        <x:v>-1.66</x:v>
      </x:c>
      <x:c r="K273" s="9" t="n">
        <x:v>5.93</x:v>
      </x:c>
      <x:c r="L273" s="3" t="str">
        <x:v>Liquid non-stable USDT pairs: volume &gt;= 10M; up/down threshold +/-1.5%; active logarithmic range threshold 3.0%; quiet active breadth threshold 35%; median direction threshold +/-1.0%.</x:v>
      </x:c>
      <x:c r="M273" s="10" t="n">
        <x:v>928</x:v>
      </x:c>
      <x:c r="N273" s="3" t="str">
        <x:v>{"recorded_at": 1789293798, "environment": "production", "regime": "ACTIVE / WEAK", "expectation": "Broad selling pressure is elevated; new longs need caution.", "sample_size": 28, "up_pct": 21.4, "down_pct": 53.6, "active_pct": 75.0, "median_change_pct": -1.66, "median_range_pct": 5.93, "formula": "Liquid non-stable USDT pairs: volume &gt;= 10M; up/down threshold +/-1.5%; active logarithmic range threshold 3.0%; quiet active breadth threshold 35%; median direction threshold +/-1.0%."}</x:v>
      </x:c>
    </x:row>
    <x:row r="274" ht="21" customHeight="1">
      <x:c r="A274" s="8" t="n">
        <x:v>46278.5544212963</x:v>
      </x:c>
      <x:c r="B274" s="10" t="n">
        <x:v>1789294702</x:v>
      </x:c>
      <x:c r="C274" s="3" t="str">
        <x:v>production</x:v>
      </x:c>
      <x:c r="D274" s="3" t="str">
        <x:v>ACTIVE / WEAK</x:v>
      </x:c>
      <x:c r="E274" s="3" t="str">
        <x:v>Broad selling pressure is elevated; new longs need caution.</x:v>
      </x:c>
      <x:c r="F274" s="10" t="n">
        <x:v>28</x:v>
      </x:c>
      <x:c r="G274" s="9" t="n">
        <x:v>21.4</x:v>
      </x:c>
      <x:c r="H274" s="9" t="n">
        <x:v>53.6</x:v>
      </x:c>
      <x:c r="I274" s="9" t="n">
        <x:v>75</x:v>
      </x:c>
      <x:c r="J274" s="9" t="n">
        <x:v>-1.69</x:v>
      </x:c>
      <x:c r="K274" s="9" t="n">
        <x:v>5.93</x:v>
      </x:c>
      <x:c r="L274" s="3" t="str">
        <x:v>Liquid non-stable USDT pairs: volume &gt;= 10M; up/down threshold +/-1.5%; active logarithmic range threshold 3.0%; quiet active breadth threshold 35%; median direction threshold +/-1.0%.</x:v>
      </x:c>
      <x:c r="M274" s="10" t="n">
        <x:v>929</x:v>
      </x:c>
      <x:c r="N274" s="3" t="str">
        <x:v>{"recorded_at": 1789294702, "environment": "production", "regime": "ACTIVE / WEAK", "expectation": "Broad selling pressure is elevated; new longs need caution.", "sample_size": 28, "up_pct": 21.4, "down_pct": 53.6, "active_pct": 75.0, "median_change_pct": -1.69, "median_range_pct": 5.93, "formula": "Liquid non-stable USDT pairs: volume &gt;= 10M; up/down threshold +/-1.5%; active logarithmic range threshold 3.0%; quiet active breadth threshold 35%; median direction threshold +/-1.0%."}</x:v>
      </x:c>
    </x:row>
    <x:row r="275" ht="21" customHeight="1">
      <x:c r="A275" s="8" t="n">
        <x:v>46278.56484953704</x:v>
      </x:c>
      <x:c r="B275" s="10" t="n">
        <x:v>1789295603</x:v>
      </x:c>
      <x:c r="C275" s="3" t="str">
        <x:v>production</x:v>
      </x:c>
      <x:c r="D275" s="3" t="str">
        <x:v>ACTIVE / WEAK</x:v>
      </x:c>
      <x:c r="E275" s="3" t="str">
        <x:v>Broad selling pressure is elevated; new longs need caution.</x:v>
      </x:c>
      <x:c r="F275" s="10" t="n">
        <x:v>28</x:v>
      </x:c>
      <x:c r="G275" s="9" t="n">
        <x:v>21.4</x:v>
      </x:c>
      <x:c r="H275" s="9" t="n">
        <x:v>53.6</x:v>
      </x:c>
      <x:c r="I275" s="9" t="n">
        <x:v>75</x:v>
      </x:c>
      <x:c r="J275" s="9" t="n">
        <x:v>-1.63</x:v>
      </x:c>
      <x:c r="K275" s="9" t="n">
        <x:v>5.93</x:v>
      </x:c>
      <x:c r="L275" s="3" t="str">
        <x:v>Liquid non-stable USDT pairs: volume &gt;= 10M; up/down threshold +/-1.5%; active logarithmic range threshold 3.0%; quiet active breadth threshold 35%; median direction threshold +/-1.0%.</x:v>
      </x:c>
      <x:c r="M275" s="10" t="n">
        <x:v>930</x:v>
      </x:c>
      <x:c r="N275" s="3" t="str">
        <x:v>{"recorded_at": 1789295603, "environment": "production", "regime": "ACTIVE / WEAK", "expectation": "Broad selling pressure is elevated; new longs need caution.", "sample_size": 28, "up_pct": 21.4, "down_pct": 53.6, "active_pct": 75.0, "median_change_pct": -1.63, "median_range_pct": 5.93, "formula": "Liquid non-stable USDT pairs: volume &gt;= 10M; up/down threshold +/-1.5%; active logarithmic range threshold 3.0%; quiet active breadth threshold 35%; median direction threshold +/-1.0%."}</x:v>
      </x:c>
    </x:row>
    <x:row r="276" ht="21" customHeight="1">
      <x:c r="A276" s="8" t="n">
        <x:v>46278.57528935185</x:v>
      </x:c>
      <x:c r="B276" s="10" t="n">
        <x:v>1789296505</x:v>
      </x:c>
      <x:c r="C276" s="3" t="str">
        <x:v>production</x:v>
      </x:c>
      <x:c r="D276" s="3" t="str">
        <x:v>ACTIVE / WEAK</x:v>
      </x:c>
      <x:c r="E276" s="3" t="str">
        <x:v>Broad selling pressure is elevated; new longs need caution.</x:v>
      </x:c>
      <x:c r="F276" s="10" t="n">
        <x:v>28</x:v>
      </x:c>
      <x:c r="G276" s="9" t="n">
        <x:v>17.9</x:v>
      </x:c>
      <x:c r="H276" s="9" t="n">
        <x:v>50</x:v>
      </x:c>
      <x:c r="I276" s="9" t="n">
        <x:v>75</x:v>
      </x:c>
      <x:c r="J276" s="9" t="n">
        <x:v>-1.58</x:v>
      </x:c>
      <x:c r="K276" s="9" t="n">
        <x:v>5.93</x:v>
      </x:c>
      <x:c r="L276" s="3" t="str">
        <x:v>Liquid non-stable USDT pairs: volume &gt;= 10M; up/down threshold +/-1.5%; active logarithmic range threshold 3.0%; quiet active breadth threshold 35%; median direction threshold +/-1.0%.</x:v>
      </x:c>
      <x:c r="M276" s="10" t="n">
        <x:v>931</x:v>
      </x:c>
      <x:c r="N276" s="3" t="str">
        <x:v>{"recorded_at": 1789296505, "environment": "production", "regime": "ACTIVE / WEAK", "expectation": "Broad selling pressure is elevated; new longs need caution.", "sample_size": 28, "up_pct": 17.9, "down_pct": 50.0, "active_pct": 75.0, "median_change_pct": -1.58, "median_range_pct": 5.93, "formula": "Liquid non-stable USDT pairs: volume &gt;= 10M; up/down threshold +/-1.5%; active logarithmic range threshold 3.0%; quiet active breadth threshold 35%; median direction threshold +/-1.0%."}</x:v>
      </x:c>
    </x:row>
    <x:row r="277" ht="21" customHeight="1">
      <x:c r="A277" s="8" t="n">
        <x:v>46278.58599537037</x:v>
      </x:c>
      <x:c r="B277" s="10" t="n">
        <x:v>1789297430</x:v>
      </x:c>
      <x:c r="C277" s="3" t="str">
        <x:v>production</x:v>
      </x:c>
      <x:c r="D277" s="3" t="str">
        <x:v>ACTIVE / WEAK</x:v>
      </x:c>
      <x:c r="E277" s="3" t="str">
        <x:v>Broad selling pressure is elevated; new longs need caution.</x:v>
      </x:c>
      <x:c r="F277" s="10" t="n">
        <x:v>28</x:v>
      </x:c>
      <x:c r="G277" s="9" t="n">
        <x:v>17.9</x:v>
      </x:c>
      <x:c r="H277" s="9" t="n">
        <x:v>46.4</x:v>
      </x:c>
      <x:c r="I277" s="9" t="n">
        <x:v>78.6</x:v>
      </x:c>
      <x:c r="J277" s="9" t="n">
        <x:v>-1.22</x:v>
      </x:c>
      <x:c r="K277" s="9" t="n">
        <x:v>6.32</x:v>
      </x:c>
      <x:c r="L277" s="3" t="str">
        <x:v>Liquid non-stable USDT pairs: volume &gt;= 10M; up/down threshold +/-1.5%; active logarithmic range threshold 3.0%; quiet active breadth threshold 35%; median direction threshold +/-1.0%.</x:v>
      </x:c>
      <x:c r="M277" s="10" t="n">
        <x:v>932</x:v>
      </x:c>
      <x:c r="N277" s="3" t="str">
        <x:v>{"recorded_at": 1789297430, "environment": "production", "regime": "ACTIVE / WEAK", "expectation": "Broad selling pressure is elevated; new longs need caution.", "sample_size": 28, "up_pct": 17.9, "down_pct": 46.4, "active_pct": 78.6, "median_change_pct": -1.22, "median_range_pct": 6.32, "formula": "Liquid non-stable USDT pairs: volume &gt;= 10M; up/down threshold +/-1.5%; active logarithmic range threshold 3.0%; quiet active breadth threshold 35%; median direction threshold +/-1.0%."}</x:v>
      </x:c>
    </x:row>
    <x:row r="278" ht="21" customHeight="1">
      <x:c r="A278" s="8" t="n">
        <x:v>46278.59648148148</x:v>
      </x:c>
      <x:c r="B278" s="10" t="n">
        <x:v>1789298336</x:v>
      </x:c>
      <x:c r="C278" s="3" t="str">
        <x:v>production</x:v>
      </x:c>
      <x:c r="D278" s="3" t="str">
        <x:v>ACTIVE / WEAK</x:v>
      </x:c>
      <x:c r="E278" s="3" t="str">
        <x:v>Broad selling pressure is elevated; new longs need caution.</x:v>
      </x:c>
      <x:c r="F278" s="10" t="n">
        <x:v>28</x:v>
      </x:c>
      <x:c r="G278" s="9" t="n">
        <x:v>17.9</x:v>
      </x:c>
      <x:c r="H278" s="9" t="n">
        <x:v>46.4</x:v>
      </x:c>
      <x:c r="I278" s="9" t="n">
        <x:v>78.6</x:v>
      </x:c>
      <x:c r="J278" s="9" t="n">
        <x:v>-1.12</x:v>
      </x:c>
      <x:c r="K278" s="9" t="n">
        <x:v>6.32</x:v>
      </x:c>
      <x:c r="L278" s="3" t="str">
        <x:v>Liquid non-stable USDT pairs: volume &gt;= 10M; up/down threshold +/-1.5%; active logarithmic range threshold 3.0%; quiet active breadth threshold 35%; median direction threshold +/-1.0%.</x:v>
      </x:c>
      <x:c r="M278" s="10" t="n">
        <x:v>933</x:v>
      </x:c>
      <x:c r="N278" s="3" t="str">
        <x:v>{"recorded_at": 1789298336, "environment": "production", "regime": "ACTIVE / WEAK", "expectation": "Broad selling pressure is elevated; new longs need caution.", "sample_size": 28, "up_pct": 17.9, "down_pct": 46.4, "active_pct": 78.6, "median_change_pct": -1.12, "median_range_pct": 6.32, "formula": "Liquid non-stable USDT pairs: volume &gt;= 10M; up/down threshold +/-1.5%; active logarithmic range threshold 3.0%; quiet active breadth threshold 35%; median direction threshold +/-1.0%."}</x:v>
      </x:c>
    </x:row>
    <x:row r="279" ht="21" customHeight="1">
      <x:c r="A279" s="8" t="n">
        <x:v>46278.6071875</x:v>
      </x:c>
      <x:c r="B279" s="10" t="n">
        <x:v>1789299261</x:v>
      </x:c>
      <x:c r="C279" s="3" t="str">
        <x:v>production</x:v>
      </x:c>
      <x:c r="D279" s="3" t="str">
        <x:v>ACTIVE / WEAK</x:v>
      </x:c>
      <x:c r="E279" s="3" t="str">
        <x:v>Broad selling pressure is elevated; new longs need caution.</x:v>
      </x:c>
      <x:c r="F279" s="10" t="n">
        <x:v>28</x:v>
      </x:c>
      <x:c r="G279" s="9" t="n">
        <x:v>21.4</x:v>
      </x:c>
      <x:c r="H279" s="9" t="n">
        <x:v>50</x:v>
      </x:c>
      <x:c r="I279" s="9" t="n">
        <x:v>78.6</x:v>
      </x:c>
      <x:c r="J279" s="9" t="n">
        <x:v>-1.44</x:v>
      </x:c>
      <x:c r="K279" s="9" t="n">
        <x:v>6.32</x:v>
      </x:c>
      <x:c r="L279" s="3" t="str">
        <x:v>Liquid non-stable USDT pairs: volume &gt;= 10M; up/down threshold +/-1.5%; active logarithmic range threshold 3.0%; quiet active breadth threshold 35%; median direction threshold +/-1.0%.</x:v>
      </x:c>
      <x:c r="M279" s="10" t="n">
        <x:v>934</x:v>
      </x:c>
      <x:c r="N279" s="3" t="str">
        <x:v>{"recorded_at": 1789299261, "environment": "production", "regime": "ACTIVE / WEAK", "expectation": "Broad selling pressure is elevated; new longs need caution.", "sample_size": 28, "up_pct": 21.4, "down_pct": 50.0, "active_pct": 78.6, "median_change_pct": -1.44, "median_range_pct": 6.32, "formula": "Liquid non-stable USDT pairs: volume &gt;= 10M; up/down threshold +/-1.5%; active logarithmic range threshold 3.0%; quiet active breadth threshold 35%; median direction threshold +/-1.0%."}</x:v>
      </x:c>
    </x:row>
    <x:row r="280" ht="21" customHeight="1">
      <x:c r="A280" s="8" t="n">
        <x:v>46278.6177662037</x:v>
      </x:c>
      <x:c r="B280" s="10" t="n">
        <x:v>1789300175</x:v>
      </x:c>
      <x:c r="C280" s="3" t="str">
        <x:v>production</x:v>
      </x:c>
      <x:c r="D280" s="3" t="str">
        <x:v>ACTIVE / WEAK</x:v>
      </x:c>
      <x:c r="E280" s="3" t="str">
        <x:v>Broad selling pressure is elevated; new longs need caution.</x:v>
      </x:c>
      <x:c r="F280" s="10" t="n">
        <x:v>28</x:v>
      </x:c>
      <x:c r="G280" s="9" t="n">
        <x:v>21.4</x:v>
      </x:c>
      <x:c r="H280" s="9" t="n">
        <x:v>50</x:v>
      </x:c>
      <x:c r="I280" s="9" t="n">
        <x:v>78.6</x:v>
      </x:c>
      <x:c r="J280" s="9" t="n">
        <x:v>-1.63</x:v>
      </x:c>
      <x:c r="K280" s="9" t="n">
        <x:v>6.32</x:v>
      </x:c>
      <x:c r="L280" s="3" t="str">
        <x:v>Liquid non-stable USDT pairs: volume &gt;= 10M; up/down threshold +/-1.5%; active logarithmic range threshold 3.0%; quiet active breadth threshold 35%; median direction threshold +/-1.0%.</x:v>
      </x:c>
      <x:c r="M280" s="10" t="n">
        <x:v>935</x:v>
      </x:c>
      <x:c r="N280" s="3" t="str">
        <x:v>{"recorded_at": 1789300175, "environment": "production", "regime": "ACTIVE / WEAK", "expectation": "Broad selling pressure is elevated; new longs need caution.", "sample_size": 28, "up_pct": 21.4, "down_pct": 50.0, "active_pct": 78.6, "median_change_pct": -1.63, "median_range_pct": 6.32, "formula": "Liquid non-stable USDT pairs: volume &gt;= 10M; up/down threshold +/-1.5%; active logarithmic range threshold 3.0%; quiet active breadth threshold 35%; median direction threshold +/-1.0%."}</x:v>
      </x:c>
    </x:row>
    <x:row r="281" ht="21" customHeight="1">
      <x:c r="A281" s="8" t="n">
        <x:v>46278.62836805556</x:v>
      </x:c>
      <x:c r="B281" s="10" t="n">
        <x:v>1789301091</x:v>
      </x:c>
      <x:c r="C281" s="3" t="str">
        <x:v>production</x:v>
      </x:c>
      <x:c r="D281" s="3" t="str">
        <x:v>ACTIVE / WEAK</x:v>
      </x:c>
      <x:c r="E281" s="3" t="str">
        <x:v>Broad selling pressure is elevated; new longs need caution.</x:v>
      </x:c>
      <x:c r="F281" s="10" t="n">
        <x:v>29</x:v>
      </x:c>
      <x:c r="G281" s="9" t="n">
        <x:v>20.7</x:v>
      </x:c>
      <x:c r="H281" s="9" t="n">
        <x:v>51.7</x:v>
      </x:c>
      <x:c r="I281" s="9" t="n">
        <x:v>79.3</x:v>
      </x:c>
      <x:c r="J281" s="9" t="n">
        <x:v>-1.83</x:v>
      </x:c>
      <x:c r="K281" s="9" t="n">
        <x:v>6.38</x:v>
      </x:c>
      <x:c r="L281" s="3" t="str">
        <x:v>Liquid non-stable USDT pairs: volume &gt;= 10M; up/down threshold +/-1.5%; active logarithmic range threshold 3.0%; quiet active breadth threshold 35%; median direction threshold +/-1.0%.</x:v>
      </x:c>
      <x:c r="M281" s="10" t="n">
        <x:v>936</x:v>
      </x:c>
      <x:c r="N281" s="3" t="str">
        <x:v>{"recorded_at": 1789301091, "environment": "production", "regime": "ACTIVE / WEAK", "expectation": "Broad selling pressure is elevated; new longs need caution.", "sample_size": 29, "up_pct": 20.7, "down_pct": 51.7, "active_pct": 79.3, "median_change_pct": -1.83, "median_range_pct": 6.38, "formula": "Liquid non-stable USDT pairs: volume &gt;= 10M; up/down threshold +/-1.5%; active logarithmic range threshold 3.0%; quiet active breadth threshold 35%; median direction threshold +/-1.0%."}</x:v>
      </x:c>
    </x:row>
    <x:row r="282" ht="21" customHeight="1">
      <x:c r="A282" s="8" t="n">
        <x:v>46278.638969907406</x:v>
      </x:c>
      <x:c r="B282" s="10" t="n">
        <x:v>1789302007</x:v>
      </x:c>
      <x:c r="C282" s="3" t="str">
        <x:v>production</x:v>
      </x:c>
      <x:c r="D282" s="3" t="str">
        <x:v>ACTIVE / WEAK</x:v>
      </x:c>
      <x:c r="E282" s="3" t="str">
        <x:v>Broad selling pressure is elevated; new longs need caution.</x:v>
      </x:c>
      <x:c r="F282" s="10" t="n">
        <x:v>29</x:v>
      </x:c>
      <x:c r="G282" s="9" t="n">
        <x:v>24.1</x:v>
      </x:c>
      <x:c r="H282" s="9" t="n">
        <x:v>51.7</x:v>
      </x:c>
      <x:c r="I282" s="9" t="n">
        <x:v>75.9</x:v>
      </x:c>
      <x:c r="J282" s="9" t="n">
        <x:v>-1.74</x:v>
      </x:c>
      <x:c r="K282" s="9" t="n">
        <x:v>6.38</x:v>
      </x:c>
      <x:c r="L282" s="3" t="str">
        <x:v>Liquid non-stable USDT pairs: volume &gt;= 10M; up/down threshold +/-1.5%; active logarithmic range threshold 3.0%; quiet active breadth threshold 35%; median direction threshold +/-1.0%.</x:v>
      </x:c>
      <x:c r="M282" s="10" t="n">
        <x:v>937</x:v>
      </x:c>
      <x:c r="N282" s="3" t="str">
        <x:v>{"recorded_at": 1789302007, "environment": "production", "regime": "ACTIVE / WEAK", "expectation": "Broad selling pressure is elevated; new longs need caution.", "sample_size": 29, "up_pct": 24.1, "down_pct": 51.7, "active_pct": 75.9, "median_change_pct": -1.74, "median_range_pct": 6.38, "formula": "Liquid non-stable USDT pairs: volume &gt;= 10M; up/down threshold +/-1.5%; active logarithmic range threshold 3.0%; quiet active breadth threshold 35%; median direction threshold +/-1.0%."}</x:v>
      </x:c>
    </x:row>
    <x:row r="283" ht="21" customHeight="1">
      <x:c r="A283" s="8" t="n">
        <x:v>46278.649513888886</x:v>
      </x:c>
      <x:c r="B283" s="10" t="n">
        <x:v>1789302918</x:v>
      </x:c>
      <x:c r="C283" s="3" t="str">
        <x:v>production</x:v>
      </x:c>
      <x:c r="D283" s="3" t="str">
        <x:v>ACTIVE / WEAK</x:v>
      </x:c>
      <x:c r="E283" s="3" t="str">
        <x:v>Broad selling pressure is elevated; new longs need caution.</x:v>
      </x:c>
      <x:c r="F283" s="10" t="n">
        <x:v>29</x:v>
      </x:c>
      <x:c r="G283" s="9" t="n">
        <x:v>24.1</x:v>
      </x:c>
      <x:c r="H283" s="9" t="n">
        <x:v>51.7</x:v>
      </x:c>
      <x:c r="I283" s="9" t="n">
        <x:v>75.9</x:v>
      </x:c>
      <x:c r="J283" s="9" t="n">
        <x:v>-1.82</x:v>
      </x:c>
      <x:c r="K283" s="9" t="n">
        <x:v>6.38</x:v>
      </x:c>
      <x:c r="L283" s="3" t="str">
        <x:v>Liquid non-stable USDT pairs: volume &gt;= 10M; up/down threshold +/-1.5%; active logarithmic range threshold 3.0%; quiet active breadth threshold 35%; median direction threshold +/-1.0%.</x:v>
      </x:c>
      <x:c r="M283" s="10" t="n">
        <x:v>938</x:v>
      </x:c>
      <x:c r="N283" s="3" t="str">
        <x:v>{"recorded_at": 1789302918, "environment": "production", "regime": "ACTIVE / WEAK", "expectation": "Broad selling pressure is elevated; new longs need caution.", "sample_size": 29, "up_pct": 24.1, "down_pct": 51.7, "active_pct": 75.9, "median_change_pct": -1.82, "median_range_pct": 6.38, "formula": "Liquid non-stable USDT pairs: volume &gt;= 10M; up/down threshold +/-1.5%; active logarithmic range threshold 3.0%; quiet active breadth threshold 35%; median direction threshold +/-1.0%."}</x:v>
      </x:c>
    </x:row>
    <x:row r="284" ht="21" customHeight="1">
      <x:c r="A284" s="8" t="n">
        <x:v>46278.660891203705</x:v>
      </x:c>
      <x:c r="B284" s="10" t="n">
        <x:v>1789303901</x:v>
      </x:c>
      <x:c r="C284" s="3" t="str">
        <x:v>production</x:v>
      </x:c>
      <x:c r="D284" s="3" t="str">
        <x:v>ACTIVE / WEAK</x:v>
      </x:c>
      <x:c r="E284" s="3" t="str">
        <x:v>Broad selling pressure is elevated; new longs need caution.</x:v>
      </x:c>
      <x:c r="F284" s="10" t="n">
        <x:v>30</x:v>
      </x:c>
      <x:c r="G284" s="9" t="n">
        <x:v>23.3</x:v>
      </x:c>
      <x:c r="H284" s="9" t="n">
        <x:v>50</x:v>
      </x:c>
      <x:c r="I284" s="9" t="n">
        <x:v>76.7</x:v>
      </x:c>
      <x:c r="J284" s="9" t="n">
        <x:v>-1.71</x:v>
      </x:c>
      <x:c r="K284" s="9" t="n">
        <x:v>6.32</x:v>
      </x:c>
      <x:c r="L284" s="3" t="str">
        <x:v>Liquid non-stable USDT pairs: volume &gt;= 10M; up/down threshold +/-1.5%; active logarithmic range threshold 3.0%; quiet active breadth threshold 35%; median direction threshold +/-1.0%.</x:v>
      </x:c>
      <x:c r="M284" s="10" t="n">
        <x:v>939</x:v>
      </x:c>
      <x:c r="N284" s="3" t="str">
        <x:v>{"recorded_at": 1789303901, "environment": "production", "regime": "ACTIVE / WEAK", "expectation": "Broad selling pressure is elevated; new longs need caution.", "sample_size": 30, "up_pct": 23.3, "down_pct": 50.0, "active_pct": 76.7, "median_change_pct": -1.71, "median_range_pct": 6.32, "formula": "Liquid non-stable USDT pairs: volume &gt;= 10M; up/down threshold +/-1.5%; active logarithmic range threshold 3.0%; quiet active breadth threshold 35%; median direction threshold +/-1.0%."}</x:v>
      </x:c>
    </x:row>
    <x:row r="285" ht="21" customHeight="1">
      <x:c r="A285" s="8" t="n">
        <x:v>46278.671319444446</x:v>
      </x:c>
      <x:c r="B285" s="10" t="n">
        <x:v>1789304802</x:v>
      </x:c>
      <x:c r="C285" s="3" t="str">
        <x:v>production</x:v>
      </x:c>
      <x:c r="D285" s="3" t="str">
        <x:v>ACTIVE / WEAK</x:v>
      </x:c>
      <x:c r="E285" s="3" t="str">
        <x:v>Broad selling pressure is elevated; new longs need caution.</x:v>
      </x:c>
      <x:c r="F285" s="10" t="n">
        <x:v>30</x:v>
      </x:c>
      <x:c r="G285" s="9" t="n">
        <x:v>23.3</x:v>
      </x:c>
      <x:c r="H285" s="9" t="n">
        <x:v>50</x:v>
      </x:c>
      <x:c r="I285" s="9" t="n">
        <x:v>73.3</x:v>
      </x:c>
      <x:c r="J285" s="9" t="n">
        <x:v>-1.48</x:v>
      </x:c>
      <x:c r="K285" s="9" t="n">
        <x:v>6.32</x:v>
      </x:c>
      <x:c r="L285" s="3" t="str">
        <x:v>Liquid non-stable USDT pairs: volume &gt;= 10M; up/down threshold +/-1.5%; active logarithmic range threshold 3.0%; quiet active breadth threshold 35%; median direction threshold +/-1.0%.</x:v>
      </x:c>
      <x:c r="M285" s="10" t="n">
        <x:v>940</x:v>
      </x:c>
      <x:c r="N285" s="3" t="str">
        <x:v>{"recorded_at": 1789304802, "environment": "production", "regime": "ACTIVE / WEAK", "expectation": "Broad selling pressure is elevated; new longs need caution.", "sample_size": 30, "up_pct": 23.3, "down_pct": 50.0, "active_pct": 73.3, "median_change_pct": -1.48, "median_range_pct": 6.32, "formula": "Liquid non-stable USDT pairs: volume &gt;= 10M; up/down threshold +/-1.5%; active logarithmic range threshold 3.0%; quiet active breadth threshold 35%; median direction threshold +/-1.0%."}</x:v>
      </x:c>
    </x:row>
    <x:row r="286" ht="21" customHeight="1">
      <x:c r="A286" s="8" t="n">
        <x:v>46278.68210648148</x:v>
      </x:c>
      <x:c r="B286" s="10" t="n">
        <x:v>1789305734</x:v>
      </x:c>
      <x:c r="C286" s="3" t="str">
        <x:v>production</x:v>
      </x:c>
      <x:c r="D286" s="3" t="str">
        <x:v>ACTIVE / WEAK</x:v>
      </x:c>
      <x:c r="E286" s="3" t="str">
        <x:v>Broad selling pressure is elevated; new longs need caution.</x:v>
      </x:c>
      <x:c r="F286" s="10" t="n">
        <x:v>30</x:v>
      </x:c>
      <x:c r="G286" s="9" t="n">
        <x:v>23.3</x:v>
      </x:c>
      <x:c r="H286" s="9" t="n">
        <x:v>53.3</x:v>
      </x:c>
      <x:c r="I286" s="9" t="n">
        <x:v>73.3</x:v>
      </x:c>
      <x:c r="J286" s="9" t="n">
        <x:v>-1.67</x:v>
      </x:c>
      <x:c r="K286" s="9" t="n">
        <x:v>6.32</x:v>
      </x:c>
      <x:c r="L286" s="3" t="str">
        <x:v>Liquid non-stable USDT pairs: volume &gt;= 10M; up/down threshold +/-1.5%; active logarithmic range threshold 3.0%; quiet active breadth threshold 35%; median direction threshold +/-1.0%.</x:v>
      </x:c>
      <x:c r="M286" s="10" t="n">
        <x:v>941</x:v>
      </x:c>
      <x:c r="N286" s="3" t="str">
        <x:v>{"recorded_at": 1789305734, "environment": "production", "regime": "ACTIVE / WEAK", "expectation": "Broad selling pressure is elevated; new longs need caution.", "sample_size": 30, "up_pct": 23.3, "down_pct": 53.3, "active_pct": 73.3, "median_change_pct": -1.67, "median_range_pct": 6.32, "formula": "Liquid non-stable USDT pairs: volume &gt;= 10M; up/down threshold +/-1.5%; active logarithmic range threshold 3.0%; quiet active breadth threshold 35%; median direction threshold +/-1.0%."}</x:v>
      </x:c>
    </x:row>
    <x:row r="287" ht="21" customHeight="1">
      <x:c r="A287" s="8" t="n">
        <x:v>46278.6925462963</x:v>
      </x:c>
      <x:c r="B287" s="10" t="n">
        <x:v>1789306636</x:v>
      </x:c>
      <x:c r="C287" s="3" t="str">
        <x:v>production</x:v>
      </x:c>
      <x:c r="D287" s="3" t="str">
        <x:v>ACTIVE / WEAK</x:v>
      </x:c>
      <x:c r="E287" s="3" t="str">
        <x:v>Broad selling pressure is elevated; new longs need caution.</x:v>
      </x:c>
      <x:c r="F287" s="10" t="n">
        <x:v>30</x:v>
      </x:c>
      <x:c r="G287" s="9" t="n">
        <x:v>23.3</x:v>
      </x:c>
      <x:c r="H287" s="9" t="n">
        <x:v>53.3</x:v>
      </x:c>
      <x:c r="I287" s="9" t="n">
        <x:v>76.7</x:v>
      </x:c>
      <x:c r="J287" s="9" t="n">
        <x:v>-1.89</x:v>
      </x:c>
      <x:c r="K287" s="9" t="n">
        <x:v>6.32</x:v>
      </x:c>
      <x:c r="L287" s="3" t="str">
        <x:v>Liquid non-stable USDT pairs: volume &gt;= 10M; up/down threshold +/-1.5%; active logarithmic range threshold 3.0%; quiet active breadth threshold 35%; median direction threshold +/-1.0%.</x:v>
      </x:c>
      <x:c r="M287" s="10" t="n">
        <x:v>942</x:v>
      </x:c>
      <x:c r="N287" s="3" t="str">
        <x:v>{"recorded_at": 1789306636, "environment": "production", "regime": "ACTIVE / WEAK", "expectation": "Broad selling pressure is elevated; new longs need caution.", "sample_size": 30, "up_pct": 23.3, "down_pct": 53.3, "active_pct": 76.7, "median_change_pct": -1.89, "median_range_pct": 6.32, "formula": "Liquid non-stable USDT pairs: volume &gt;= 10M; up/down threshold +/-1.5%; active logarithmic range threshold 3.0%; quiet active breadth threshold 35%; median direction threshold +/-1.0%."}</x:v>
      </x:c>
    </x:row>
    <x:row r="288" ht="21" customHeight="1">
      <x:c r="A288" s="8" t="n">
        <x:v>46278.703310185185</x:v>
      </x:c>
      <x:c r="B288" s="10" t="n">
        <x:v>1789307566</x:v>
      </x:c>
      <x:c r="C288" s="3" t="str">
        <x:v>production</x:v>
      </x:c>
      <x:c r="D288" s="3" t="str">
        <x:v>ACTIVE / MIXED</x:v>
      </x:c>
      <x:c r="E288" s="3" t="str">
        <x:v>Movement is sufficient, but market direction is divided.</x:v>
      </x:c>
      <x:c r="F288" s="10" t="n">
        <x:v>31</x:v>
      </x:c>
      <x:c r="G288" s="9" t="n">
        <x:v>25.8</x:v>
      </x:c>
      <x:c r="H288" s="9" t="n">
        <x:v>45.2</x:v>
      </x:c>
      <x:c r="I288" s="9" t="n">
        <x:v>77.4</x:v>
      </x:c>
      <x:c r="J288" s="9" t="n">
        <x:v>-0.77</x:v>
      </x:c>
      <x:c r="K288" s="9" t="n">
        <x:v>6.38</x:v>
      </x:c>
      <x:c r="L288" s="3" t="str">
        <x:v>Liquid non-stable USDT pairs: volume &gt;= 10M; up/down threshold +/-1.5%; active logarithmic range threshold 3.0%; quiet active breadth threshold 35%; median direction threshold +/-1.0%.</x:v>
      </x:c>
      <x:c r="M288" s="10" t="n">
        <x:v>943</x:v>
      </x:c>
      <x:c r="N288" s="3" t="str">
        <x:v>{"recorded_at": 1789307566, "environment": "production", "regime": "ACTIVE / MIXED", "expectation": "Movement is sufficient, but market direction is divided.", "sample_size": 31, "up_pct": 25.8, "down_pct": 45.2, "active_pct": 77.4, "median_change_pct": -0.77, "median_range_pct": 6.38, "formula": "Liquid non-stable USDT pairs: volume &gt;= 10M; up/down threshold +/-1.5%; active logarithmic range threshold 3.0%; quiet active breadth threshold 35%; median direction threshold +/-1.0%."}</x:v>
      </x:c>
    </x:row>
    <x:row r="289" ht="21" customHeight="1">
      <x:c r="A289" s="8" t="n">
        <x:v>46278.71388888889</x:v>
      </x:c>
      <x:c r="B289" s="10" t="n">
        <x:v>1789308480</x:v>
      </x:c>
      <x:c r="C289" s="3" t="str">
        <x:v>production</x:v>
      </x:c>
      <x:c r="D289" s="3" t="str">
        <x:v>ACTIVE / MIXED</x:v>
      </x:c>
      <x:c r="E289" s="3" t="str">
        <x:v>Movement is sufficient, but market direction is divided.</x:v>
      </x:c>
      <x:c r="F289" s="10" t="n">
        <x:v>31</x:v>
      </x:c>
      <x:c r="G289" s="9" t="n">
        <x:v>25.8</x:v>
      </x:c>
      <x:c r="H289" s="9" t="n">
        <x:v>41.9</x:v>
      </x:c>
      <x:c r="I289" s="9" t="n">
        <x:v>77.4</x:v>
      </x:c>
      <x:c r="J289" s="9" t="n">
        <x:v>-0.64</x:v>
      </x:c>
      <x:c r="K289" s="9" t="n">
        <x:v>6.38</x:v>
      </x:c>
      <x:c r="L289" s="3" t="str">
        <x:v>Liquid non-stable USDT pairs: volume &gt;= 10M; up/down threshold +/-1.5%; active logarithmic range threshold 3.0%; quiet active breadth threshold 35%; median direction threshold +/-1.0%.</x:v>
      </x:c>
      <x:c r="M289" s="10" t="n">
        <x:v>944</x:v>
      </x:c>
      <x:c r="N289" s="3" t="str">
        <x:v>{"recorded_at": 1789308480, "environment": "production", "regime": "ACTIVE / MIXED", "expectation": "Movement is sufficient, but market direction is divided.", "sample_size": 31, "up_pct": 25.8, "down_pct": 41.9, "active_pct": 77.4, "median_change_pct": -0.64, "median_range_pct": 6.38, "formula": "Liquid non-stable USDT pairs: volume &gt;= 10M; up/down threshold +/-1.5%; active logarithmic range threshold 3.0%; quiet active breadth threshold 35%; median direction threshold +/-1.0%."}</x:v>
      </x:c>
    </x:row>
    <x:row r="290" ht="21" customHeight="1">
      <x:c r="A290" s="8" t="n">
        <x:v>46278.72436342593</x:v>
      </x:c>
      <x:c r="B290" s="10" t="n">
        <x:v>1789309385</x:v>
      </x:c>
      <x:c r="C290" s="3" t="str">
        <x:v>production</x:v>
      </x:c>
      <x:c r="D290" s="3" t="str">
        <x:v>ACTIVE / MIXED</x:v>
      </x:c>
      <x:c r="E290" s="3" t="str">
        <x:v>Movement is sufficient, but market direction is divided.</x:v>
      </x:c>
      <x:c r="F290" s="10" t="n">
        <x:v>30</x:v>
      </x:c>
      <x:c r="G290" s="9" t="n">
        <x:v>23.3</x:v>
      </x:c>
      <x:c r="H290" s="9" t="n">
        <x:v>40</x:v>
      </x:c>
      <x:c r="I290" s="9" t="n">
        <x:v>76.7</x:v>
      </x:c>
      <x:c r="J290" s="9" t="n">
        <x:v>-0.81</x:v>
      </x:c>
      <x:c r="K290" s="9" t="n">
        <x:v>5.44</x:v>
      </x:c>
      <x:c r="L290" s="3" t="str">
        <x:v>Liquid non-stable USDT pairs: volume &gt;= 10M; up/down threshold +/-1.5%; active logarithmic range threshold 3.0%; quiet active breadth threshold 35%; median direction threshold +/-1.0%.</x:v>
      </x:c>
      <x:c r="M290" s="10" t="n">
        <x:v>945</x:v>
      </x:c>
      <x:c r="N290" s="3" t="str">
        <x:v>{"recorded_at": 1789309385, "environment": "production", "regime": "ACTIVE / MIXED", "expectation": "Movement is sufficient, but market direction is divided.", "sample_size": 30, "up_pct": 23.3, "down_pct": 40.0, "active_pct": 76.7, "median_change_pct": -0.81, "median_range_pct": 5.44, "formula": "Liquid non-stable USDT pairs: volume &gt;= 10M; up/down threshold +/-1.5%; active logarithmic range threshold 3.0%; quiet active breadth threshold 35%; median direction threshold +/-1.0%."}</x:v>
      </x:c>
    </x:row>
    <x:row r="291" ht="21" customHeight="1">
      <x:c r="A291" s="8" t="n">
        <x:v>46278.73525462963</x:v>
      </x:c>
      <x:c r="B291" s="10" t="n">
        <x:v>1789310326</x:v>
      </x:c>
      <x:c r="C291" s="3" t="str">
        <x:v>production</x:v>
      </x:c>
      <x:c r="D291" s="3" t="str">
        <x:v>ACTIVE / MIXED</x:v>
      </x:c>
      <x:c r="E291" s="3" t="str">
        <x:v>Movement is sufficient, but market direction is divided.</x:v>
      </x:c>
      <x:c r="F291" s="10" t="n">
        <x:v>30</x:v>
      </x:c>
      <x:c r="G291" s="9" t="n">
        <x:v>23.3</x:v>
      </x:c>
      <x:c r="H291" s="9" t="n">
        <x:v>36.7</x:v>
      </x:c>
      <x:c r="I291" s="9" t="n">
        <x:v>76.7</x:v>
      </x:c>
      <x:c r="J291" s="9" t="n">
        <x:v>-0.83</x:v>
      </x:c>
      <x:c r="K291" s="9" t="n">
        <x:v>5.44</x:v>
      </x:c>
      <x:c r="L291" s="3" t="str">
        <x:v>Liquid non-stable USDT pairs: volume &gt;= 10M; up/down threshold +/-1.5%; active logarithmic range threshold 3.0%; quiet active breadth threshold 35%; median direction threshold +/-1.0%.</x:v>
      </x:c>
      <x:c r="M291" s="10" t="n">
        <x:v>946</x:v>
      </x:c>
      <x:c r="N291" s="3" t="str">
        <x:v>{"recorded_at": 1789310326, "environment": "production", "regime": "ACTIVE / MIXED", "expectation": "Movement is sufficient, but market direction is divided.", "sample_size": 30, "up_pct": 23.3, "down_pct": 36.7, "active_pct": 76.7, "median_change_pct": -0.83, "median_range_pct": 5.44, "formula": "Liquid non-stable USDT pairs: volume &gt;= 10M; up/down threshold +/-1.5%; active logarithmic range threshold 3.0%; quiet active breadth threshold 35%; median direction threshold +/-1.0%."}</x:v>
      </x:c>
    </x:row>
    <x:row r="292" ht="21" customHeight="1">
      <x:c r="A292" s="8" t="n">
        <x:v>46278.74594907407</x:v>
      </x:c>
      <x:c r="B292" s="10" t="n">
        <x:v>1789311250</x:v>
      </x:c>
      <x:c r="C292" s="3" t="str">
        <x:v>production</x:v>
      </x:c>
      <x:c r="D292" s="3" t="str">
        <x:v>ACTIVE / MIXED</x:v>
      </x:c>
      <x:c r="E292" s="3" t="str">
        <x:v>Movement is sufficient, but market direction is divided.</x:v>
      </x:c>
      <x:c r="F292" s="10" t="n">
        <x:v>31</x:v>
      </x:c>
      <x:c r="G292" s="9" t="n">
        <x:v>22.6</x:v>
      </x:c>
      <x:c r="H292" s="9" t="n">
        <x:v>38.7</x:v>
      </x:c>
      <x:c r="I292" s="9" t="n">
        <x:v>77.4</x:v>
      </x:c>
      <x:c r="J292" s="9" t="n">
        <x:v>-0.79</x:v>
      </x:c>
      <x:c r="K292" s="9" t="n">
        <x:v>6.26</x:v>
      </x:c>
      <x:c r="L292" s="3" t="str">
        <x:v>Liquid non-stable USDT pairs: volume &gt;= 10M; up/down threshold +/-1.5%; active logarithmic range threshold 3.0%; quiet active breadth threshold 35%; median direction threshold +/-1.0%.</x:v>
      </x:c>
      <x:c r="M292" s="10" t="n">
        <x:v>947</x:v>
      </x:c>
      <x:c r="N292" s="3" t="str">
        <x:v>{"recorded_at": 1789311250, "environment": "production", "regime": "ACTIVE / MIXED", "expectation": "Movement is sufficient, but market direction is divided.", "sample_size": 31, "up_pct": 22.6, "down_pct": 38.7, "active_pct": 77.4, "median_change_pct": -0.79, "median_range_pct": 6.26, "formula": "Liquid non-stable USDT pairs: volume &gt;= 10M; up/down threshold +/-1.5%; active logarithmic range threshold 3.0%; quiet active breadth threshold 35%; median direction threshold +/-1.0%."}</x:v>
      </x:c>
    </x:row>
    <x:row r="293" ht="21" customHeight="1">
      <x:c r="A293" s="8" t="n">
        <x:v>46278.75659722222</x:v>
      </x:c>
      <x:c r="B293" s="10" t="n">
        <x:v>1789312170</x:v>
      </x:c>
      <x:c r="C293" s="3" t="str">
        <x:v>production</x:v>
      </x:c>
      <x:c r="D293" s="3" t="str">
        <x:v>ACTIVE / MIXED</x:v>
      </x:c>
      <x:c r="E293" s="3" t="str">
        <x:v>Movement is sufficient, but market direction is divided.</x:v>
      </x:c>
      <x:c r="F293" s="10" t="n">
        <x:v>32</x:v>
      </x:c>
      <x:c r="G293" s="9" t="n">
        <x:v>21.9</x:v>
      </x:c>
      <x:c r="H293" s="9" t="n">
        <x:v>46.9</x:v>
      </x:c>
      <x:c r="I293" s="9" t="n">
        <x:v>75</x:v>
      </x:c>
      <x:c r="J293" s="9" t="n">
        <x:v>-0.98</x:v>
      </x:c>
      <x:c r="K293" s="9" t="n">
        <x:v>5.44</x:v>
      </x:c>
      <x:c r="L293" s="3" t="str">
        <x:v>Liquid non-stable USDT pairs: volume &gt;= 10M; up/down threshold +/-1.5%; active logarithmic range threshold 3.0%; quiet active breadth threshold 35%; median direction threshold +/-1.0%.</x:v>
      </x:c>
      <x:c r="M293" s="10" t="n">
        <x:v>948</x:v>
      </x:c>
      <x:c r="N293" s="3" t="str">
        <x:v>{"recorded_at": 1789312170, "environment": "production", "regime": "ACTIVE / MIXED", "expectation": "Movement is sufficient, but market direction is divided.", "sample_size": 32, "up_pct": 21.9, "down_pct": 46.9, "active_pct": 75.0, "median_change_pct": -0.98, "median_range_pct": 5.44, "formula": "Liquid non-stable USDT pairs: volume &gt;= 10M; up/down threshold +/-1.5%; active logarithmic range threshold 3.0%; quiet active breadth threshold 35%; median direction threshold +/-1.0%."}</x:v>
      </x:c>
    </x:row>
    <x:row r="294" ht="21" customHeight="1">
      <x:c r="A294" s="8" t="n">
        <x:v>46278.76739583333</x:v>
      </x:c>
      <x:c r="B294" s="10" t="n">
        <x:v>1789313103</x:v>
      </x:c>
      <x:c r="C294" s="3" t="str">
        <x:v>production</x:v>
      </x:c>
      <x:c r="D294" s="3" t="str">
        <x:v>ACTIVE / WEAK</x:v>
      </x:c>
      <x:c r="E294" s="3" t="str">
        <x:v>Broad selling pressure is elevated; new longs need caution.</x:v>
      </x:c>
      <x:c r="F294" s="10" t="n">
        <x:v>32</x:v>
      </x:c>
      <x:c r="G294" s="9" t="n">
        <x:v>21.9</x:v>
      </x:c>
      <x:c r="H294" s="9" t="n">
        <x:v>43.8</x:v>
      </x:c>
      <x:c r="I294" s="9" t="n">
        <x:v>75</x:v>
      </x:c>
      <x:c r="J294" s="9" t="n">
        <x:v>-1.14</x:v>
      </x:c>
      <x:c r="K294" s="9" t="n">
        <x:v>5.44</x:v>
      </x:c>
      <x:c r="L294" s="3" t="str">
        <x:v>Liquid non-stable USDT pairs: volume &gt;= 10M; up/down threshold +/-1.5%; active logarithmic range threshold 3.0%; quiet active breadth threshold 35%; median direction threshold +/-1.0%.</x:v>
      </x:c>
      <x:c r="M294" s="10" t="n">
        <x:v>949</x:v>
      </x:c>
      <x:c r="N294" s="3" t="str">
        <x:v>{"recorded_at": 1789313103, "environment": "production", "regime": "ACTIVE / WEAK", "expectation": "Broad selling pressure is elevated; new longs need caution.", "sample_size": 32, "up_pct": 21.9, "down_pct": 43.8, "active_pct": 75.0, "median_change_pct": -1.14, "median_range_pct": 5.44, "formula": "Liquid non-stable USDT pairs: volume &gt;= 10M; up/down threshold +/-1.5%; active logarithmic range threshold 3.0%; quiet active breadth threshold 35%; median direction threshold +/-1.0%."}</x:v>
      </x:c>
    </x:row>
    <x:row r="295" ht="21" customHeight="1">
      <x:c r="A295" s="8" t="n">
        <x:v>46278.778078703705</x:v>
      </x:c>
      <x:c r="B295" s="10" t="n">
        <x:v>1789314026</x:v>
      </x:c>
      <x:c r="C295" s="3" t="str">
        <x:v>production</x:v>
      </x:c>
      <x:c r="D295" s="3" t="str">
        <x:v>ACTIVE / WEAK</x:v>
      </x:c>
      <x:c r="E295" s="3" t="str">
        <x:v>Broad selling pressure is elevated; new longs need caution.</x:v>
      </x:c>
      <x:c r="F295" s="10" t="n">
        <x:v>32</x:v>
      </x:c>
      <x:c r="G295" s="9" t="n">
        <x:v>21.9</x:v>
      </x:c>
      <x:c r="H295" s="9" t="n">
        <x:v>50</x:v>
      </x:c>
      <x:c r="I295" s="9" t="n">
        <x:v>71.9</x:v>
      </x:c>
      <x:c r="J295" s="9" t="n">
        <x:v>-1.46</x:v>
      </x:c>
      <x:c r="K295" s="9" t="n">
        <x:v>5.44</x:v>
      </x:c>
      <x:c r="L295" s="3" t="str">
        <x:v>Liquid non-stable USDT pairs: volume &gt;= 10M; up/down threshold +/-1.5%; active logarithmic range threshold 3.0%; quiet active breadth threshold 35%; median direction threshold +/-1.0%.</x:v>
      </x:c>
      <x:c r="M295" s="10" t="n">
        <x:v>950</x:v>
      </x:c>
      <x:c r="N295" s="3" t="str">
        <x:v>{"recorded_at": 1789314026, "environment": "production", "regime": "ACTIVE / WEAK", "expectation": "Broad selling pressure is elevated; new longs need caution.", "sample_size": 32, "up_pct": 21.9, "down_pct": 50.0, "active_pct": 71.9, "median_change_pct": -1.46, "median_range_pct": 5.44, "formula": "Liquid non-stable USDT pairs: volume &gt;= 10M; up/down threshold +/-1.5%; active logarithmic range threshold 3.0%; quiet active breadth threshold 35%; median direction threshold +/-1.0%."}</x:v>
      </x:c>
    </x:row>
    <x:row r="296" ht="21" customHeight="1">
      <x:c r="A296" s="8" t="n">
        <x:v>46278.788877314815</x:v>
      </x:c>
      <x:c r="B296" s="10" t="n">
        <x:v>1789314959</x:v>
      </x:c>
      <x:c r="C296" s="3" t="str">
        <x:v>production</x:v>
      </x:c>
      <x:c r="D296" s="3" t="str">
        <x:v>ACTIVE / WEAK</x:v>
      </x:c>
      <x:c r="E296" s="3" t="str">
        <x:v>Broad selling pressure is elevated; new longs need caution.</x:v>
      </x:c>
      <x:c r="F296" s="10" t="n">
        <x:v>32</x:v>
      </x:c>
      <x:c r="G296" s="9" t="n">
        <x:v>21.9</x:v>
      </x:c>
      <x:c r="H296" s="9" t="n">
        <x:v>50</x:v>
      </x:c>
      <x:c r="I296" s="9" t="n">
        <x:v>71.9</x:v>
      </x:c>
      <x:c r="J296" s="9" t="n">
        <x:v>-1.56</x:v>
      </x:c>
      <x:c r="K296" s="9" t="n">
        <x:v>5.44</x:v>
      </x:c>
      <x:c r="L296" s="3" t="str">
        <x:v>Liquid non-stable USDT pairs: volume &gt;= 10M; up/down threshold +/-1.5%; active logarithmic range threshold 3.0%; quiet active breadth threshold 35%; median direction threshold +/-1.0%.</x:v>
      </x:c>
      <x:c r="M296" s="10" t="n">
        <x:v>951</x:v>
      </x:c>
      <x:c r="N296" s="3" t="str">
        <x:v>{"recorded_at": 1789314959, "environment": "production", "regime": "ACTIVE / WEAK", "expectation": "Broad selling pressure is elevated; new longs need caution.", "sample_size": 32, "up_pct": 21.9, "down_pct": 50.0, "active_pct": 71.9, "median_change_pct": -1.56, "median_range_pct": 5.44, "formula": "Liquid non-stable USDT pairs: volume &gt;= 10M; up/down threshold +/-1.5%; active logarithmic range threshold 3.0%; quiet active breadth threshold 35%; median direction threshold +/-1.0%."}</x:v>
      </x:c>
    </x:row>
    <x:row r="297" ht="21" customHeight="1">
      <x:c r="A297" s="8" t="n">
        <x:v>46278.79959490741</x:v>
      </x:c>
      <x:c r="B297" s="10" t="n">
        <x:v>1789315885</x:v>
      </x:c>
      <x:c r="C297" s="3" t="str">
        <x:v>production</x:v>
      </x:c>
      <x:c r="D297" s="3" t="str">
        <x:v>ACTIVE / WEAK</x:v>
      </x:c>
      <x:c r="E297" s="3" t="str">
        <x:v>Broad selling pressure is elevated; new longs need caution.</x:v>
      </x:c>
      <x:c r="F297" s="10" t="n">
        <x:v>32</x:v>
      </x:c>
      <x:c r="G297" s="9" t="n">
        <x:v>21.9</x:v>
      </x:c>
      <x:c r="H297" s="9" t="n">
        <x:v>46.9</x:v>
      </x:c>
      <x:c r="I297" s="9" t="n">
        <x:v>65.6</x:v>
      </x:c>
      <x:c r="J297" s="9" t="n">
        <x:v>-1.3</x:v>
      </x:c>
      <x:c r="K297" s="9" t="n">
        <x:v>5.21</x:v>
      </x:c>
      <x:c r="L297" s="3" t="str">
        <x:v>Liquid non-stable USDT pairs: volume &gt;= 10M; up/down threshold +/-1.5%; active logarithmic range threshold 3.0%; quiet active breadth threshold 35%; median direction threshold +/-1.0%.</x:v>
      </x:c>
      <x:c r="M297" s="10" t="n">
        <x:v>952</x:v>
      </x:c>
      <x:c r="N297" s="3" t="str">
        <x:v>{"recorded_at": 1789315885, "environment": "production", "regime": "ACTIVE / WEAK", "expectation": "Broad selling pressure is elevated; new longs need caution.", "sample_size": 32, "up_pct": 21.9, "down_pct": 46.9, "active_pct": 65.6, "median_change_pct": -1.3, "median_range_pct": 5.21, "formula": "Liquid non-stable USDT pairs: volume &gt;= 10M; up/down threshold +/-1.5%; active logarithmic range threshold 3.0%; quiet active breadth threshold 35%; median direction threshold +/-1.0%."}</x:v>
      </x:c>
    </x:row>
    <x:row r="298" ht="21" customHeight="1">
      <x:c r="A298" s="8" t="n">
        <x:v>46278.81037037037</x:v>
      </x:c>
      <x:c r="B298" s="10" t="n">
        <x:v>1789316816</x:v>
      </x:c>
      <x:c r="C298" s="3" t="str">
        <x:v>production</x:v>
      </x:c>
      <x:c r="D298" s="3" t="str">
        <x:v>ACTIVE / WEAK</x:v>
      </x:c>
      <x:c r="E298" s="3" t="str">
        <x:v>Broad selling pressure is elevated; new longs need caution.</x:v>
      </x:c>
      <x:c r="F298" s="10" t="n">
        <x:v>32</x:v>
      </x:c>
      <x:c r="G298" s="9" t="n">
        <x:v>21.9</x:v>
      </x:c>
      <x:c r="H298" s="9" t="n">
        <x:v>43.8</x:v>
      </x:c>
      <x:c r="I298" s="9" t="n">
        <x:v>65.6</x:v>
      </x:c>
      <x:c r="J298" s="9" t="n">
        <x:v>-1.19</x:v>
      </x:c>
      <x:c r="K298" s="9" t="n">
        <x:v>4.84</x:v>
      </x:c>
      <x:c r="L298" s="3" t="str">
        <x:v>Liquid non-stable USDT pairs: volume &gt;= 10M; up/down threshold +/-1.5%; active logarithmic range threshold 3.0%; quiet active breadth threshold 35%; median direction threshold +/-1.0%.</x:v>
      </x:c>
      <x:c r="M298" s="10" t="n">
        <x:v>953</x:v>
      </x:c>
      <x:c r="N298" s="3" t="str">
        <x:v>{"recorded_at": 1789316816, "environment": "production", "regime": "ACTIVE / WEAK", "expectation": "Broad selling pressure is elevated; new longs need caution.", "sample_size": 32, "up_pct": 21.9, "down_pct": 43.8, "active_pct": 65.6, "median_change_pct": -1.19, "median_range_pct": 4.84, "formula": "Liquid non-stable USDT pairs: volume &gt;= 10M; up/down threshold +/-1.5%; active logarithmic range threshold 3.0%; quiet active breadth threshold 35%; median direction threshold +/-1.0%."}</x:v>
      </x:c>
    </x:row>
    <x:row r="299" ht="21" customHeight="1">
      <x:c r="A299" s="8" t="n">
        <x:v>46278.821180555555</x:v>
      </x:c>
      <x:c r="B299" s="10" t="n">
        <x:v>1789317750</x:v>
      </x:c>
      <x:c r="C299" s="3" t="str">
        <x:v>production</x:v>
      </x:c>
      <x:c r="D299" s="3" t="str">
        <x:v>ACTIVE / WEAK</x:v>
      </x:c>
      <x:c r="E299" s="3" t="str">
        <x:v>Broad selling pressure is elevated; new longs need caution.</x:v>
      </x:c>
      <x:c r="F299" s="10" t="n">
        <x:v>30</x:v>
      </x:c>
      <x:c r="G299" s="9" t="n">
        <x:v>23.3</x:v>
      </x:c>
      <x:c r="H299" s="9" t="n">
        <x:v>40</x:v>
      </x:c>
      <x:c r="I299" s="9" t="n">
        <x:v>63.3</x:v>
      </x:c>
      <x:c r="J299" s="9" t="n">
        <x:v>-1.01</x:v>
      </x:c>
      <x:c r="K299" s="9" t="n">
        <x:v>3.9</x:v>
      </x:c>
      <x:c r="L299" s="3" t="str">
        <x:v>Liquid non-stable USDT pairs: volume &gt;= 10M; up/down threshold +/-1.5%; active logarithmic range threshold 3.0%; quiet active breadth threshold 35%; median direction threshold +/-1.0%.</x:v>
      </x:c>
      <x:c r="M299" s="10" t="n">
        <x:v>954</x:v>
      </x:c>
      <x:c r="N299" s="3" t="str">
        <x:v>{"recorded_at": 1789317750, "environment": "production", "regime": "ACTIVE / WEAK", "expectation": "Broad selling pressure is elevated; new longs need caution.", "sample_size": 30, "up_pct": 23.3, "down_pct": 40.0, "active_pct": 63.3, "median_change_pct": -1.01, "median_range_pct": 3.9, "formula": "Liquid non-stable USDT pairs: volume &gt;= 10M; up/down threshold +/-1.5%; active logarithmic range threshold 3.0%; quiet active breadth threshold 35%; median direction threshold +/-1.0%."}</x:v>
      </x:c>
    </x:row>
    <x:row r="300" ht="21" customHeight="1">
      <x:c r="A300" s="8" t="n">
        <x:v>46278.831666666665</x:v>
      </x:c>
      <x:c r="B300" s="10" t="n">
        <x:v>1789318656</x:v>
      </x:c>
      <x:c r="C300" s="3" t="str">
        <x:v>production</x:v>
      </x:c>
      <x:c r="D300" s="3" t="str">
        <x:v>ACTIVE / WEAK</x:v>
      </x:c>
      <x:c r="E300" s="3" t="str">
        <x:v>Broad selling pressure is elevated; new longs need caution.</x:v>
      </x:c>
      <x:c r="F300" s="10" t="n">
        <x:v>31</x:v>
      </x:c>
      <x:c r="G300" s="9" t="n">
        <x:v>22.6</x:v>
      </x:c>
      <x:c r="H300" s="9" t="n">
        <x:v>32.3</x:v>
      </x:c>
      <x:c r="I300" s="9" t="n">
        <x:v>64.5</x:v>
      </x:c>
      <x:c r="J300" s="9" t="n">
        <x:v>-1.09</x:v>
      </x:c>
      <x:c r="K300" s="9" t="n">
        <x:v>3.99</x:v>
      </x:c>
      <x:c r="L300" s="3" t="str">
        <x:v>Liquid non-stable USDT pairs: volume &gt;= 10M; up/down threshold +/-1.5%; active logarithmic range threshold 3.0%; quiet active breadth threshold 35%; median direction threshold +/-1.0%.</x:v>
      </x:c>
      <x:c r="M300" s="10" t="n">
        <x:v>955</x:v>
      </x:c>
      <x:c r="N300" s="3" t="str">
        <x:v>{"recorded_at": 1789318656, "environment": "production", "regime": "ACTIVE / WEAK", "expectation": "Broad selling pressure is elevated; new longs need caution.", "sample_size": 31, "up_pct": 22.6, "down_pct": 32.3, "active_pct": 64.5, "median_change_pct": -1.09, "median_range_pct": 3.99, "formula": "Liquid non-stable USDT pairs: volume &gt;= 10M; up/down threshold +/-1.5%; active logarithmic range threshold 3.0%; quiet active breadth threshold 35%; median direction threshold +/-1.0%."}</x:v>
      </x:c>
    </x:row>
    <x:row r="301" ht="21" customHeight="1">
      <x:c r="A301" s="8" t="n">
        <x:v>46278.84234953704</x:v>
      </x:c>
      <x:c r="B301" s="10" t="n">
        <x:v>1789319579</x:v>
      </x:c>
      <x:c r="C301" s="3" t="str">
        <x:v>production</x:v>
      </x:c>
      <x:c r="D301" s="3" t="str">
        <x:v>ACTIVE / MIXED</x:v>
      </x:c>
      <x:c r="E301" s="3" t="str">
        <x:v>Movement is sufficient, but market direction is divided.</x:v>
      </x:c>
      <x:c r="F301" s="10" t="n">
        <x:v>30</x:v>
      </x:c>
      <x:c r="G301" s="9" t="n">
        <x:v>26.7</x:v>
      </x:c>
      <x:c r="H301" s="9" t="n">
        <x:v>16.7</x:v>
      </x:c>
      <x:c r="I301" s="9" t="n">
        <x:v>66.7</x:v>
      </x:c>
      <x:c r="J301" s="9" t="n">
        <x:v>-0.29</x:v>
      </x:c>
      <x:c r="K301" s="9" t="n">
        <x:v>3.9</x:v>
      </x:c>
      <x:c r="L301" s="3" t="str">
        <x:v>Liquid non-stable USDT pairs: volume &gt;= 10M; up/down threshold +/-1.5%; active logarithmic range threshold 3.0%; quiet active breadth threshold 35%; median direction threshold +/-1.0%.</x:v>
      </x:c>
      <x:c r="M301" s="10" t="n">
        <x:v>956</x:v>
      </x:c>
      <x:c r="N301" s="3" t="str">
        <x:v>{"recorded_at": 1789319579, "environment": "production", "regime": "ACTIVE / MIXED", "expectation": "Movement is sufficient, but market direction is divided.", "sample_size": 30, "up_pct": 26.7, "down_pct": 16.7, "active_pct": 66.7, "median_change_pct": -0.29, "median_range_pct": 3.9, "formula": "Liquid non-stable USDT pairs: volume &gt;= 10M; up/down threshold +/-1.5%; active logarithmic range threshold 3.0%; quiet active breadth threshold 35%; median direction threshold +/-1.0%."}</x:v>
      </x:c>
    </x:row>
    <x:row r="302" ht="21" customHeight="1">
      <x:c r="A302" s="8" t="n">
        <x:v>46278.852789351855</x:v>
      </x:c>
      <x:c r="B302" s="10" t="n">
        <x:v>1789320481</x:v>
      </x:c>
      <x:c r="C302" s="3" t="str">
        <x:v>production</x:v>
      </x:c>
      <x:c r="D302" s="3" t="str">
        <x:v>ACTIVE / MIXED</x:v>
      </x:c>
      <x:c r="E302" s="3" t="str">
        <x:v>Movement is sufficient, but market direction is divided.</x:v>
      </x:c>
      <x:c r="F302" s="10" t="n">
        <x:v>31</x:v>
      </x:c>
      <x:c r="G302" s="9" t="n">
        <x:v>25.8</x:v>
      </x:c>
      <x:c r="H302" s="9" t="n">
        <x:v>19.4</x:v>
      </x:c>
      <x:c r="I302" s="9" t="n">
        <x:v>67.7</x:v>
      </x:c>
      <x:c r="J302" s="9" t="n">
        <x:v>-0.39</x:v>
      </x:c>
      <x:c r="K302" s="9" t="n">
        <x:v>3.85</x:v>
      </x:c>
      <x:c r="L302" s="3" t="str">
        <x:v>Liquid non-stable USDT pairs: volume &gt;= 10M; up/down threshold +/-1.5%; active logarithmic range threshold 3.0%; quiet active breadth threshold 35%; median direction threshold +/-1.0%.</x:v>
      </x:c>
      <x:c r="M302" s="10" t="n">
        <x:v>957</x:v>
      </x:c>
      <x:c r="N302" s="3" t="str">
        <x:v>{"recorded_at": 1789320481, "environment": "production", "regime": "ACTIVE / MIXED", "expectation": "Movement is sufficient, but market direction is divided.", "sample_size": 31, "up_pct": 25.8, "down_pct": 19.4, "active_pct": 67.7, "median_change_pct": -0.39, "median_range_pct": 3.85, "formula": "Liquid non-stable USDT pairs: volume &gt;= 10M; up/down threshold +/-1.5%; active logarithmic range threshold 3.0%; quiet active breadth threshold 35%; median direction threshold +/-1.0%."}</x:v>
      </x:c>
    </x:row>
    <x:row r="303" ht="21" customHeight="1">
      <x:c r="A303" s="8" t="n">
        <x:v>46278.86351851852</x:v>
      </x:c>
      <x:c r="B303" s="10" t="n">
        <x:v>1789321408</x:v>
      </x:c>
      <x:c r="C303" s="3" t="str">
        <x:v>production</x:v>
      </x:c>
      <x:c r="D303" s="3" t="str">
        <x:v>ACTIVE / MIXED</x:v>
      </x:c>
      <x:c r="E303" s="3" t="str">
        <x:v>Movement is sufficient, but market direction is divided.</x:v>
      </x:c>
      <x:c r="F303" s="10" t="n">
        <x:v>31</x:v>
      </x:c>
      <x:c r="G303" s="9" t="n">
        <x:v>22.6</x:v>
      </x:c>
      <x:c r="H303" s="9" t="n">
        <x:v>22.6</x:v>
      </x:c>
      <x:c r="I303" s="9" t="n">
        <x:v>67.7</x:v>
      </x:c>
      <x:c r="J303" s="9" t="n">
        <x:v>-0.64</x:v>
      </x:c>
      <x:c r="K303" s="9" t="n">
        <x:v>3.85</x:v>
      </x:c>
      <x:c r="L303" s="3" t="str">
        <x:v>Liquid non-stable USDT pairs: volume &gt;= 10M; up/down threshold +/-1.5%; active logarithmic range threshold 3.0%; quiet active breadth threshold 35%; median direction threshold +/-1.0%.</x:v>
      </x:c>
      <x:c r="M303" s="10" t="n">
        <x:v>958</x:v>
      </x:c>
      <x:c r="N303" s="3" t="str">
        <x:v>{"recorded_at": 1789321408, "environment": "production", "regime": "ACTIVE / MIXED", "expectation": "Movement is sufficient, but market direction is divided.", "sample_size": 31, "up_pct": 22.6, "down_pct": 22.6, "active_pct": 67.7, "median_change_pct": -0.64, "median_range_pct": 3.85, "formula": "Liquid non-stable USDT pairs: volume &gt;= 10M; up/down threshold +/-1.5%; active logarithmic range threshold 3.0%; quiet active breadth threshold 35%; median direction threshold +/-1.0%."}</x:v>
      </x:c>
    </x:row>
    <x:row r="304" ht="21" customHeight="1">
      <x:c r="A304" s="8" t="n">
        <x:v>46278.87399305555</x:v>
      </x:c>
      <x:c r="B304" s="10" t="n">
        <x:v>1789322313</x:v>
      </x:c>
      <x:c r="C304" s="3" t="str">
        <x:v>production</x:v>
      </x:c>
      <x:c r="D304" s="3" t="str">
        <x:v>ACTIVE / MIXED</x:v>
      </x:c>
      <x:c r="E304" s="3" t="str">
        <x:v>Movement is sufficient, but market direction is divided.</x:v>
      </x:c>
      <x:c r="F304" s="10" t="n">
        <x:v>31</x:v>
      </x:c>
      <x:c r="G304" s="9" t="n">
        <x:v>22.6</x:v>
      </x:c>
      <x:c r="H304" s="9" t="n">
        <x:v>16.1</x:v>
      </x:c>
      <x:c r="I304" s="9" t="n">
        <x:v>64.5</x:v>
      </x:c>
      <x:c r="J304" s="9" t="n">
        <x:v>-0.62</x:v>
      </x:c>
      <x:c r="K304" s="9" t="n">
        <x:v>3.85</x:v>
      </x:c>
      <x:c r="L304" s="3" t="str">
        <x:v>Liquid non-stable USDT pairs: volume &gt;= 10M; up/down threshold +/-1.5%; active logarithmic range threshold 3.0%; quiet active breadth threshold 35%; median direction threshold +/-1.0%.</x:v>
      </x:c>
      <x:c r="M304" s="10" t="n">
        <x:v>959</x:v>
      </x:c>
      <x:c r="N304" s="3" t="str">
        <x:v>{"recorded_at": 1789322313, "environment": "production", "regime": "ACTIVE / MIXED", "expectation": "Movement is sufficient, but market direction is divided.", "sample_size": 31, "up_pct": 22.6, "down_pct": 16.1, "active_pct": 64.5, "median_change_pct": -0.62, "median_range_pct": 3.85, "formula": "Liquid non-stable USDT pairs: volume &gt;= 10M; up/down threshold +/-1.5%; active logarithmic range threshold 3.0%; quiet active breadth threshold 35%; median direction threshold +/-1.0%."}</x:v>
      </x:c>
    </x:row>
    <x:row r="305" ht="21" customHeight="1">
      <x:c r="A305" s="8" t="n">
        <x:v>46278.88452546296</x:v>
      </x:c>
      <x:c r="B305" s="10" t="n">
        <x:v>1789323223</x:v>
      </x:c>
      <x:c r="C305" s="3" t="str">
        <x:v>production</x:v>
      </x:c>
      <x:c r="D305" s="3" t="str">
        <x:v>ACTIVE / MIXED</x:v>
      </x:c>
      <x:c r="E305" s="3" t="str">
        <x:v>Movement is sufficient, but market direction is divided.</x:v>
      </x:c>
      <x:c r="F305" s="10" t="n">
        <x:v>31</x:v>
      </x:c>
      <x:c r="G305" s="9" t="n">
        <x:v>25.8</x:v>
      </x:c>
      <x:c r="H305" s="9" t="n">
        <x:v>19.4</x:v>
      </x:c>
      <x:c r="I305" s="9" t="n">
        <x:v>64.5</x:v>
      </x:c>
      <x:c r="J305" s="9" t="n">
        <x:v>-0.46</x:v>
      </x:c>
      <x:c r="K305" s="9" t="n">
        <x:v>3.85</x:v>
      </x:c>
      <x:c r="L305" s="3" t="str">
        <x:v>Liquid non-stable USDT pairs: volume &gt;= 10M; up/down threshold +/-1.5%; active logarithmic range threshold 3.0%; quiet active breadth threshold 35%; median direction threshold +/-1.0%.</x:v>
      </x:c>
      <x:c r="M305" s="10" t="n">
        <x:v>960</x:v>
      </x:c>
      <x:c r="N305" s="3" t="str">
        <x:v>{"recorded_at": 1789323223, "environment": "production", "regime": "ACTIVE / MIXED", "expectation": "Movement is sufficient, but market direction is divided.", "sample_size": 31, "up_pct": 25.8, "down_pct": 19.4, "active_pct": 64.5, "median_change_pct": -0.46, "median_range_pct": 3.85, "formula": "Liquid non-stable USDT pairs: volume &gt;= 10M; up/down threshold +/-1.5%; active logarithmic range threshold 3.0%; quiet active breadth threshold 35%; median direction threshold +/-1.0%."}</x:v>
      </x:c>
    </x:row>
    <x:row r="306" ht="21" customHeight="1">
      <x:c r="A306" s="8" t="n">
        <x:v>46278.8953125</x:v>
      </x:c>
      <x:c r="B306" s="10" t="n">
        <x:v>1789324155</x:v>
      </x:c>
      <x:c r="C306" s="3" t="str">
        <x:v>production</x:v>
      </x:c>
      <x:c r="D306" s="3" t="str">
        <x:v>ACTIVE / MIXED</x:v>
      </x:c>
      <x:c r="E306" s="3" t="str">
        <x:v>Movement is sufficient, but market direction is divided.</x:v>
      </x:c>
      <x:c r="F306" s="10" t="n">
        <x:v>30</x:v>
      </x:c>
      <x:c r="G306" s="9" t="n">
        <x:v>26.7</x:v>
      </x:c>
      <x:c r="H306" s="9" t="n">
        <x:v>13.3</x:v>
      </x:c>
      <x:c r="I306" s="9" t="n">
        <x:v>63.3</x:v>
      </x:c>
      <x:c r="J306" s="9" t="n">
        <x:v>-0.04</x:v>
      </x:c>
      <x:c r="K306" s="9" t="n">
        <x:v>3.79</x:v>
      </x:c>
      <x:c r="L306" s="3" t="str">
        <x:v>Liquid non-stable USDT pairs: volume &gt;= 10M; up/down threshold +/-1.5%; active logarithmic range threshold 3.0%; quiet active breadth threshold 35%; median direction threshold +/-1.0%.</x:v>
      </x:c>
      <x:c r="M306" s="10" t="n">
        <x:v>961</x:v>
      </x:c>
      <x:c r="N306" s="3" t="str">
        <x:v>{"recorded_at": 1789324155, "environment": "production", "regime": "ACTIVE / MIXED", "expectation": "Movement is sufficient, but market direction is divided.", "sample_size": 30, "up_pct": 26.7, "down_pct": 13.3, "active_pct": 63.3, "median_change_pct": -0.04, "median_range_pct": 3.79, "formula": "Liquid non-stable USDT pairs: volume &gt;= 10M; up/down threshold +/-1.5%; active logarithmic range threshold 3.0%; quiet active breadth threshold 35%; median direction threshold +/-1.0%."}</x:v>
      </x:c>
    </x:row>
    <x:row r="307" ht="21" customHeight="1">
      <x:c r="A307" s="8" t="n">
        <x:v>46278.90586805555</x:v>
      </x:c>
      <x:c r="B307" s="10" t="n">
        <x:v>1789325067</x:v>
      </x:c>
      <x:c r="C307" s="3" t="str">
        <x:v>production</x:v>
      </x:c>
      <x:c r="D307" s="3" t="str">
        <x:v>ACTIVE / MIXED</x:v>
      </x:c>
      <x:c r="E307" s="3" t="str">
        <x:v>Movement is sufficient, but market direction is divided.</x:v>
      </x:c>
      <x:c r="F307" s="10" t="n">
        <x:v>30</x:v>
      </x:c>
      <x:c r="G307" s="9" t="n">
        <x:v>30</x:v>
      </x:c>
      <x:c r="H307" s="9" t="n">
        <x:v>13.3</x:v>
      </x:c>
      <x:c r="I307" s="9" t="n">
        <x:v>63.3</x:v>
      </x:c>
      <x:c r="J307" s="9" t="n">
        <x:v>0.03</x:v>
      </x:c>
      <x:c r="K307" s="9" t="n">
        <x:v>3.79</x:v>
      </x:c>
      <x:c r="L307" s="3" t="str">
        <x:v>Liquid non-stable USDT pairs: volume &gt;= 10M; up/down threshold +/-1.5%; active logarithmic range threshold 3.0%; quiet active breadth threshold 35%; median direction threshold +/-1.0%.</x:v>
      </x:c>
      <x:c r="M307" s="10" t="n">
        <x:v>962</x:v>
      </x:c>
      <x:c r="N307" s="3" t="str">
        <x:v>{"recorded_at": 1789325067, "environment": "production", "regime": "ACTIVE / MIXED", "expectation": "Movement is sufficient, but market direction is divided.", "sample_size": 30, "up_pct": 30.0, "down_pct": 13.3, "active_pct": 63.3, "median_change_pct": 0.03, "median_range_pct": 3.79, "formula": "Liquid non-stable USDT pairs: volume &gt;= 10M; up/down threshold +/-1.5%; active logarithmic range threshold 3.0%; quiet active breadth threshold 35%; median direction threshold +/-1.0%."}</x:v>
      </x:c>
    </x:row>
    <x:row r="308" ht="21" customHeight="1">
      <x:c r="A308" s="8" t="n">
        <x:v>46278.91662037037</x:v>
      </x:c>
      <x:c r="B308" s="10" t="n">
        <x:v>1789325996</x:v>
      </x:c>
      <x:c r="C308" s="3" t="str">
        <x:v>production</x:v>
      </x:c>
      <x:c r="D308" s="3" t="str">
        <x:v>ACTIVE / MIXED</x:v>
      </x:c>
      <x:c r="E308" s="3" t="str">
        <x:v>Movement is sufficient, but market direction is divided.</x:v>
      </x:c>
      <x:c r="F308" s="10" t="n">
        <x:v>32</x:v>
      </x:c>
      <x:c r="G308" s="9" t="n">
        <x:v>28.1</x:v>
      </x:c>
      <x:c r="H308" s="9" t="n">
        <x:v>15.6</x:v>
      </x:c>
      <x:c r="I308" s="9" t="n">
        <x:v>68.8</x:v>
      </x:c>
      <x:c r="J308" s="9" t="n">
        <x:v>-0.02</x:v>
      </x:c>
      <x:c r="K308" s="9" t="n">
        <x:v>3.79</x:v>
      </x:c>
      <x:c r="L308" s="3" t="str">
        <x:v>Liquid non-stable USDT pairs: volume &gt;= 10M; up/down threshold +/-1.5%; active logarithmic range threshold 3.0%; quiet active breadth threshold 35%; median direction threshold +/-1.0%.</x:v>
      </x:c>
      <x:c r="M308" s="10" t="n">
        <x:v>963</x:v>
      </x:c>
      <x:c r="N308" s="3" t="str">
        <x:v>{"recorded_at": 1789325996, "environment": "production", "regime": "ACTIVE / MIXED", "expectation": "Movement is sufficient, but market direction is divided.", "sample_size": 32, "up_pct": 28.1, "down_pct": 15.6, "active_pct": 68.8, "median_change_pct": -0.02, "median_range_pct": 3.79, "formula": "Liquid non-stable USDT pairs: volume &gt;= 10M; up/down threshold +/-1.5%; active logarithmic range threshold 3.0%; quiet active breadth threshold 35%; median direction threshold +/-1.0%."}</x:v>
      </x:c>
    </x:row>
    <x:row r="309" ht="21" customHeight="1">
      <x:c r="A309" s="8" t="n">
        <x:v>46278.92732638889</x:v>
      </x:c>
      <x:c r="B309" s="10" t="n">
        <x:v>1789326921</x:v>
      </x:c>
      <x:c r="C309" s="3" t="str">
        <x:v>production</x:v>
      </x:c>
      <x:c r="D309" s="3" t="str">
        <x:v>ACTIVE / MIXED</x:v>
      </x:c>
      <x:c r="E309" s="3" t="str">
        <x:v>Movement is sufficient, but market direction is divided.</x:v>
      </x:c>
      <x:c r="F309" s="10" t="n">
        <x:v>32</x:v>
      </x:c>
      <x:c r="G309" s="9" t="n">
        <x:v>28.1</x:v>
      </x:c>
      <x:c r="H309" s="9" t="n">
        <x:v>18.8</x:v>
      </x:c>
      <x:c r="I309" s="9" t="n">
        <x:v>68.8</x:v>
      </x:c>
      <x:c r="J309" s="9" t="n">
        <x:v>-0.4</x:v>
      </x:c>
      <x:c r="K309" s="9" t="n">
        <x:v>3.79</x:v>
      </x:c>
      <x:c r="L309" s="3" t="str">
        <x:v>Liquid non-stable USDT pairs: volume &gt;= 10M; up/down threshold +/-1.5%; active logarithmic range threshold 3.0%; quiet active breadth threshold 35%; median direction threshold +/-1.0%.</x:v>
      </x:c>
      <x:c r="M309" s="10" t="n">
        <x:v>964</x:v>
      </x:c>
      <x:c r="N309" s="3" t="str">
        <x:v>{"recorded_at": 1789326921, "environment": "production", "regime": "ACTIVE / MIXED", "expectation": "Movement is sufficient, but market direction is divided.", "sample_size": 32, "up_pct": 28.1, "down_pct": 18.8, "active_pct": 68.8, "median_change_pct": -0.4, "median_range_pct": 3.79, "formula": "Liquid non-stable USDT pairs: volume &gt;= 10M; up/down threshold +/-1.5%; active logarithmic range threshold 3.0%; quiet active breadth threshold 35%; median direction threshold +/-1.0%."}</x:v>
      </x:c>
    </x:row>
    <x:row r="310" ht="21" customHeight="1">
      <x:c r="A310" s="8" t="n">
        <x:v>46278.93787037037</x:v>
      </x:c>
      <x:c r="B310" s="10" t="n">
        <x:v>1789327832</x:v>
      </x:c>
      <x:c r="C310" s="3" t="str">
        <x:v>production</x:v>
      </x:c>
      <x:c r="D310" s="3" t="str">
        <x:v>ACTIVE / MIXED</x:v>
      </x:c>
      <x:c r="E310" s="3" t="str">
        <x:v>Movement is sufficient, but market direction is divided.</x:v>
      </x:c>
      <x:c r="F310" s="10" t="n">
        <x:v>32</x:v>
      </x:c>
      <x:c r="G310" s="9" t="n">
        <x:v>28.1</x:v>
      </x:c>
      <x:c r="H310" s="9" t="n">
        <x:v>18.8</x:v>
      </x:c>
      <x:c r="I310" s="9" t="n">
        <x:v>68.8</x:v>
      </x:c>
      <x:c r="J310" s="9" t="n">
        <x:v>-0.48</x:v>
      </x:c>
      <x:c r="K310" s="9" t="n">
        <x:v>3.79</x:v>
      </x:c>
      <x:c r="L310" s="3" t="str">
        <x:v>Liquid non-stable USDT pairs: volume &gt;= 10M; up/down threshold +/-1.5%; active logarithmic range threshold 3.0%; quiet active breadth threshold 35%; median direction threshold +/-1.0%.</x:v>
      </x:c>
      <x:c r="M310" s="10" t="n">
        <x:v>965</x:v>
      </x:c>
      <x:c r="N310" s="3" t="str">
        <x:v>{"recorded_at": 1789327832, "environment": "production", "regime": "ACTIVE / MIXED", "expectation": "Movement is sufficient, but market direction is divided.", "sample_size": 32, "up_pct": 28.1, "down_pct": 18.8, "active_pct": 68.8, "median_change_pct": -0.48, "median_range_pct": 3.79, "formula": "Liquid non-stable USDT pairs: volume &gt;= 10M; up/down threshold +/-1.5%; active logarithmic range threshold 3.0%; quiet active breadth threshold 35%; median direction threshold +/-1.0%."}</x:v>
      </x:c>
    </x:row>
    <x:row r="311" ht="21" customHeight="1">
      <x:c r="A311" s="8" t="n">
        <x:v>46278.94840277778</x:v>
      </x:c>
      <x:c r="B311" s="10" t="n">
        <x:v>1789328742</x:v>
      </x:c>
      <x:c r="C311" s="3" t="str">
        <x:v>production</x:v>
      </x:c>
      <x:c r="D311" s="3" t="str">
        <x:v>ACTIVE / MIXED</x:v>
      </x:c>
      <x:c r="E311" s="3" t="str">
        <x:v>Movement is sufficient, but market direction is divided.</x:v>
      </x:c>
      <x:c r="F311" s="10" t="n">
        <x:v>31</x:v>
      </x:c>
      <x:c r="G311" s="9" t="n">
        <x:v>25.8</x:v>
      </x:c>
      <x:c r="H311" s="9" t="n">
        <x:v>16.1</x:v>
      </x:c>
      <x:c r="I311" s="9" t="n">
        <x:v>71</x:v>
      </x:c>
      <x:c r="J311" s="9" t="n">
        <x:v>-0.41</x:v>
      </x:c>
      <x:c r="K311" s="9" t="n">
        <x:v>3.8</x:v>
      </x:c>
      <x:c r="L311" s="3" t="str">
        <x:v>Liquid non-stable USDT pairs: volume &gt;= 10M; up/down threshold +/-1.5%; active logarithmic range threshold 3.0%; quiet active breadth threshold 35%; median direction threshold +/-1.0%.</x:v>
      </x:c>
      <x:c r="M311" s="10" t="n">
        <x:v>966</x:v>
      </x:c>
      <x:c r="N311" s="3" t="str">
        <x:v>{"recorded_at": 1789328742, "environment": "production", "regime": "ACTIVE / MIXED", "expectation": "Movement is sufficient, but market direction is divided.", "sample_size": 31, "up_pct": 25.8, "down_pct": 16.1, "active_pct": 71.0, "median_change_pct": -0.41, "median_range_pct": 3.8, "formula": "Liquid non-stable USDT pairs: volume &gt;= 10M; up/down threshold +/-1.5%; active logarithmic range threshold 3.0%; quiet active breadth threshold 35%; median direction threshold +/-1.0%."}</x:v>
      </x:c>
    </x:row>
    <x:row r="312" ht="21" customHeight="1">
      <x:c r="A312" s="8" t="n">
        <x:v>46278.95921296296</x:v>
      </x:c>
      <x:c r="B312" s="10" t="n">
        <x:v>1789329676</x:v>
      </x:c>
      <x:c r="C312" s="3" t="str">
        <x:v>production</x:v>
      </x:c>
      <x:c r="D312" s="3" t="str">
        <x:v>ACTIVE / MIXED</x:v>
      </x:c>
      <x:c r="E312" s="3" t="str">
        <x:v>Movement is sufficient, but market direction is divided.</x:v>
      </x:c>
      <x:c r="F312" s="10" t="n">
        <x:v>30</x:v>
      </x:c>
      <x:c r="G312" s="9" t="n">
        <x:v>26.7</x:v>
      </x:c>
      <x:c r="H312" s="9" t="n">
        <x:v>16.7</x:v>
      </x:c>
      <x:c r="I312" s="9" t="n">
        <x:v>70</x:v>
      </x:c>
      <x:c r="J312" s="9" t="n">
        <x:v>-0.34</x:v>
      </x:c>
      <x:c r="K312" s="9" t="n">
        <x:v>4.11</x:v>
      </x:c>
      <x:c r="L312" s="3" t="str">
        <x:v>Liquid non-stable USDT pairs: volume &gt;= 10M; up/down threshold +/-1.5%; active logarithmic range threshold 3.0%; quiet active breadth threshold 35%; median direction threshold +/-1.0%.</x:v>
      </x:c>
      <x:c r="M312" s="10" t="n">
        <x:v>967</x:v>
      </x:c>
      <x:c r="N312" s="3" t="str">
        <x:v>{"recorded_at": 1789329676, "environment": "production", "regime": "ACTIVE / MIXED", "expectation": "Movement is sufficient, but market direction is divided.", "sample_size": 30, "up_pct": 26.7, "down_pct": 16.7, "active_pct": 70.0, "median_change_pct": -0.34, "median_range_pct": 4.11, "formula": "Liquid non-stable USDT pairs: volume &gt;= 10M; up/down threshold +/-1.5%; active logarithmic range threshold 3.0%; quiet active breadth threshold 35%; median direction threshold +/-1.0%."}</x:v>
      </x:c>
    </x:row>
    <x:row r="313" ht="21" customHeight="1">
      <x:c r="A313" s="8" t="n">
        <x:v>46278.96984953704</x:v>
      </x:c>
      <x:c r="B313" s="10" t="n">
        <x:v>1789330595</x:v>
      </x:c>
      <x:c r="C313" s="3" t="str">
        <x:v>production</x:v>
      </x:c>
      <x:c r="D313" s="3" t="str">
        <x:v>ACTIVE / MIXED</x:v>
      </x:c>
      <x:c r="E313" s="3" t="str">
        <x:v>Movement is sufficient, but market direction is divided.</x:v>
      </x:c>
      <x:c r="F313" s="10" t="n">
        <x:v>30</x:v>
      </x:c>
      <x:c r="G313" s="9" t="n">
        <x:v>26.7</x:v>
      </x:c>
      <x:c r="H313" s="9" t="n">
        <x:v>23.3</x:v>
      </x:c>
      <x:c r="I313" s="9" t="n">
        <x:v>70</x:v>
      </x:c>
      <x:c r="J313" s="9" t="n">
        <x:v>-0.44</x:v>
      </x:c>
      <x:c r="K313" s="9" t="n">
        <x:v>4.11</x:v>
      </x:c>
      <x:c r="L313" s="3" t="str">
        <x:v>Liquid non-stable USDT pairs: volume &gt;= 10M; up/down threshold +/-1.5%; active logarithmic range threshold 3.0%; quiet active breadth threshold 35%; median direction threshold +/-1.0%.</x:v>
      </x:c>
      <x:c r="M313" s="10" t="n">
        <x:v>968</x:v>
      </x:c>
      <x:c r="N313" s="3" t="str">
        <x:v>{"recorded_at": 1789330595, "environment": "production", "regime": "ACTIVE / MIXED", "expectation": "Movement is sufficient, but market direction is divided.", "sample_size": 30, "up_pct": 26.7, "down_pct": 23.3, "active_pct": 70.0, "median_change_pct": -0.44, "median_range_pct": 4.11, "formula": "Liquid non-stable USDT pairs: volume &gt;= 10M; up/down threshold +/-1.5%; active logarithmic range threshold 3.0%; quiet active breadth threshold 35%; median direction threshold +/-1.0%."}</x:v>
      </x:c>
    </x:row>
    <x:row r="314" ht="21" customHeight="1">
      <x:c r="A314" s="8" t="n">
        <x:v>46278.98045138889</x:v>
      </x:c>
      <x:c r="B314" s="10" t="n">
        <x:v>1789331511</x:v>
      </x:c>
      <x:c r="C314" s="3" t="str">
        <x:v>production</x:v>
      </x:c>
      <x:c r="D314" s="3" t="str">
        <x:v>ACTIVE / MIXED</x:v>
      </x:c>
      <x:c r="E314" s="3" t="str">
        <x:v>Movement is sufficient, but market direction is divided.</x:v>
      </x:c>
      <x:c r="F314" s="10" t="n">
        <x:v>31</x:v>
      </x:c>
      <x:c r="G314" s="9" t="n">
        <x:v>29</x:v>
      </x:c>
      <x:c r="H314" s="9" t="n">
        <x:v>19.4</x:v>
      </x:c>
      <x:c r="I314" s="9" t="n">
        <x:v>71</x:v>
      </x:c>
      <x:c r="J314" s="9" t="n">
        <x:v>-0.13</x:v>
      </x:c>
      <x:c r="K314" s="9" t="n">
        <x:v>3.8</x:v>
      </x:c>
      <x:c r="L314" s="3" t="str">
        <x:v>Liquid non-stable USDT pairs: volume &gt;= 10M; up/down threshold +/-1.5%; active logarithmic range threshold 3.0%; quiet active breadth threshold 35%; median direction threshold +/-1.0%.</x:v>
      </x:c>
      <x:c r="M314" s="10" t="n">
        <x:v>969</x:v>
      </x:c>
      <x:c r="N314" s="3" t="str">
        <x:v>{"recorded_at": 1789331511, "environment": "production", "regime": "ACTIVE / MIXED", "expectation": "Movement is sufficient, but market direction is divided.", "sample_size": 31, "up_pct": 29.0, "down_pct": 19.4, "active_pct": 71.0, "median_change_pct": -0.13, "median_range_pct": 3.8, "formula": "Liquid non-stable USDT pairs: volume &gt;= 10M; up/down threshold +/-1.5%; active logarithmic range threshold 3.0%; quiet active breadth threshold 35%; median direction threshold +/-1.0%."}</x:v>
      </x:c>
    </x:row>
    <x:row r="315" ht="21" customHeight="1">
      <x:c r="A315" s="8" t="n">
        <x:v>46278.99118055555</x:v>
      </x:c>
      <x:c r="B315" s="10" t="n">
        <x:v>1789332438</x:v>
      </x:c>
      <x:c r="C315" s="3" t="str">
        <x:v>production</x:v>
      </x:c>
      <x:c r="D315" s="3" t="str">
        <x:v>ACTIVE / MIXED</x:v>
      </x:c>
      <x:c r="E315" s="3" t="str">
        <x:v>Movement is sufficient, but market direction is divided.</x:v>
      </x:c>
      <x:c r="F315" s="10" t="n">
        <x:v>30</x:v>
      </x:c>
      <x:c r="G315" s="9" t="n">
        <x:v>30</x:v>
      </x:c>
      <x:c r="H315" s="9" t="n">
        <x:v>16.7</x:v>
      </x:c>
      <x:c r="I315" s="9" t="n">
        <x:v>70</x:v>
      </x:c>
      <x:c r="J315" s="9" t="n">
        <x:v>-0.06</x:v>
      </x:c>
      <x:c r="K315" s="9" t="n">
        <x:v>4.11</x:v>
      </x:c>
      <x:c r="L315" s="3" t="str">
        <x:v>Liquid non-stable USDT pairs: volume &gt;= 10M; up/down threshold +/-1.5%; active logarithmic range threshold 3.0%; quiet active breadth threshold 35%; median direction threshold +/-1.0%.</x:v>
      </x:c>
      <x:c r="M315" s="10" t="n">
        <x:v>970</x:v>
      </x:c>
      <x:c r="N315" s="3" t="str">
        <x:v>{"recorded_at": 1789332438, "environment": "production", "regime": "ACTIVE / MIXED", "expectation": "Movement is sufficient, but market direction is divided.", "sample_size": 30, "up_pct": 30.0, "down_pct": 16.7, "active_pct": 70.0, "median_change_pct": -0.06, "median_range_pct": 4.11, "formula": "Liquid non-stable USDT pairs: volume &gt;= 10M; up/down threshold +/-1.5%; active logarithmic range threshold 3.0%; quiet active breadth threshold 35%; median direction threshold +/-1.0%."}</x:v>
      </x:c>
    </x:row>
    <x:row r="316" ht="21" customHeight="1">
      <x:c r="A316" s="8" t="n">
        <x:v>46279.00170138889</x:v>
      </x:c>
      <x:c r="B316" s="10" t="n">
        <x:v>1789333347</x:v>
      </x:c>
      <x:c r="C316" s="3" t="str">
        <x:v>production</x:v>
      </x:c>
      <x:c r="D316" s="3" t="str">
        <x:v>ACTIVE / MIXED</x:v>
      </x:c>
      <x:c r="E316" s="3" t="str">
        <x:v>Movement is sufficient, but market direction is divided.</x:v>
      </x:c>
      <x:c r="F316" s="10" t="n">
        <x:v>30</x:v>
      </x:c>
      <x:c r="G316" s="9" t="n">
        <x:v>30</x:v>
      </x:c>
      <x:c r="H316" s="9" t="n">
        <x:v>16.7</x:v>
      </x:c>
      <x:c r="I316" s="9" t="n">
        <x:v>70</x:v>
      </x:c>
      <x:c r="J316" s="9" t="n">
        <x:v>-0.08</x:v>
      </x:c>
      <x:c r="K316" s="9" t="n">
        <x:v>4.03</x:v>
      </x:c>
      <x:c r="L316" s="3" t="str">
        <x:v>Liquid non-stable USDT pairs: volume &gt;= 10M; up/down threshold +/-1.5%; active logarithmic range threshold 3.0%; quiet active breadth threshold 35%; median direction threshold +/-1.0%.</x:v>
      </x:c>
      <x:c r="M316" s="10" t="n">
        <x:v>971</x:v>
      </x:c>
      <x:c r="N316" s="3" t="str">
        <x:v>{"recorded_at": 1789333347, "environment": "production", "regime": "ACTIVE / MIXED", "expectation": "Movement is sufficient, but market direction is divided.", "sample_size": 30, "up_pct": 30.0, "down_pct": 16.7, "active_pct": 70.0, "median_change_pct": -0.08, "median_range_pct": 4.03, "formula": "Liquid non-stable USDT pairs: volume &gt;= 10M; up/down threshold +/-1.5%; active logarithmic range threshold 3.0%; quiet active breadth threshold 35%; median direction threshold +/-1.0%."}</x:v>
      </x:c>
    </x:row>
    <x:row r="317" ht="21" customHeight="1">
      <x:c r="A317" s="8" t="n">
        <x:v>46279.012141203704</x:v>
      </x:c>
      <x:c r="B317" s="10" t="n">
        <x:v>1789334249</x:v>
      </x:c>
      <x:c r="C317" s="3" t="str">
        <x:v>production</x:v>
      </x:c>
      <x:c r="D317" s="3" t="str">
        <x:v>ACTIVE / MIXED</x:v>
      </x:c>
      <x:c r="E317" s="3" t="str">
        <x:v>Movement is sufficient, but market direction is divided.</x:v>
      </x:c>
      <x:c r="F317" s="10" t="n">
        <x:v>30</x:v>
      </x:c>
      <x:c r="G317" s="9" t="n">
        <x:v>30</x:v>
      </x:c>
      <x:c r="H317" s="9" t="n">
        <x:v>13.3</x:v>
      </x:c>
      <x:c r="I317" s="9" t="n">
        <x:v>70</x:v>
      </x:c>
      <x:c r="J317" s="9" t="n">
        <x:v>-0.11</x:v>
      </x:c>
      <x:c r="K317" s="9" t="n">
        <x:v>3.94</x:v>
      </x:c>
      <x:c r="L317" s="3" t="str">
        <x:v>Liquid non-stable USDT pairs: volume &gt;= 10M; up/down threshold +/-1.5%; active logarithmic range threshold 3.0%; quiet active breadth threshold 35%; median direction threshold +/-1.0%.</x:v>
      </x:c>
      <x:c r="M317" s="10" t="n">
        <x:v>972</x:v>
      </x:c>
      <x:c r="N317" s="3" t="str">
        <x:v>{"recorded_at": 1789334249, "environment": "production", "regime": "ACTIVE / MIXED", "expectation": "Movement is sufficient, but market direction is divided.", "sample_size": 30, "up_pct": 30.0, "down_pct": 13.3, "active_pct": 70.0, "median_change_pct": -0.11, "median_range_pct": 3.94, "formula": "Liquid non-stable USDT pairs: volume &gt;= 10M; up/down threshold +/-1.5%; active logarithmic range threshold 3.0%; quiet active breadth threshold 35%; median direction threshold +/-1.0%."}</x:v>
      </x:c>
    </x:row>
    <x:row r="318" ht="21" customHeight="1">
      <x:c r="A318" s="8" t="n">
        <x:v>46279.02260416667</x:v>
      </x:c>
      <x:c r="B318" s="10" t="n">
        <x:v>1789335153</x:v>
      </x:c>
      <x:c r="C318" s="3" t="str">
        <x:v>production</x:v>
      </x:c>
      <x:c r="D318" s="3" t="str">
        <x:v>ACTIVE / MIXED</x:v>
      </x:c>
      <x:c r="E318" s="3" t="str">
        <x:v>Movement is sufficient, but market direction is divided.</x:v>
      </x:c>
      <x:c r="F318" s="10" t="n">
        <x:v>30</x:v>
      </x:c>
      <x:c r="G318" s="9" t="n">
        <x:v>30</x:v>
      </x:c>
      <x:c r="H318" s="9" t="n">
        <x:v>16.7</x:v>
      </x:c>
      <x:c r="I318" s="9" t="n">
        <x:v>70</x:v>
      </x:c>
      <x:c r="J318" s="9" t="n">
        <x:v>-0.2</x:v>
      </x:c>
      <x:c r="K318" s="9" t="n">
        <x:v>3.94</x:v>
      </x:c>
      <x:c r="L318" s="3" t="str">
        <x:v>Liquid non-stable USDT pairs: volume &gt;= 10M; up/down threshold +/-1.5%; active logarithmic range threshold 3.0%; quiet active breadth threshold 35%; median direction threshold +/-1.0%.</x:v>
      </x:c>
      <x:c r="M318" s="10" t="n">
        <x:v>973</x:v>
      </x:c>
      <x:c r="N318" s="3" t="str">
        <x:v>{"recorded_at": 1789335153, "environment": "production", "regime": "ACTIVE / MIXED", "expectation": "Movement is sufficient, but market direction is divided.", "sample_size": 30, "up_pct": 30.0, "down_pct": 16.7, "active_pct": 70.0, "median_change_pct": -0.2, "median_range_pct": 3.94, "formula": "Liquid non-stable USDT pairs: volume &gt;= 10M; up/down threshold +/-1.5%; active logarithmic range threshold 3.0%; quiet active breadth threshold 35%; median direction threshold +/-1.0%."}</x:v>
      </x:c>
    </x:row>
    <x:row r="319" ht="21" customHeight="1">
      <x:c r="A319" s="8" t="n">
        <x:v>46279.03309027778</x:v>
      </x:c>
      <x:c r="B319" s="10" t="n">
        <x:v>1789336059</x:v>
      </x:c>
      <x:c r="C319" s="3" t="str">
        <x:v>production</x:v>
      </x:c>
      <x:c r="D319" s="3" t="str">
        <x:v>ACTIVE / MIXED</x:v>
      </x:c>
      <x:c r="E319" s="3" t="str">
        <x:v>Movement is sufficient, but market direction is divided.</x:v>
      </x:c>
      <x:c r="F319" s="10" t="n">
        <x:v>30</x:v>
      </x:c>
      <x:c r="G319" s="9" t="n">
        <x:v>30</x:v>
      </x:c>
      <x:c r="H319" s="9" t="n">
        <x:v>13.3</x:v>
      </x:c>
      <x:c r="I319" s="9" t="n">
        <x:v>70</x:v>
      </x:c>
      <x:c r="J319" s="9" t="n">
        <x:v>-0.11</x:v>
      </x:c>
      <x:c r="K319" s="9" t="n">
        <x:v>3.79</x:v>
      </x:c>
      <x:c r="L319" s="3" t="str">
        <x:v>Liquid non-stable USDT pairs: volume &gt;= 10M; up/down threshold +/-1.5%; active logarithmic range threshold 3.0%; quiet active breadth threshold 35%; median direction threshold +/-1.0%.</x:v>
      </x:c>
      <x:c r="M319" s="10" t="n">
        <x:v>974</x:v>
      </x:c>
      <x:c r="N319" s="3" t="str">
        <x:v>{"recorded_at": 1789336059, "environment": "production", "regime": "ACTIVE / MIXED", "expectation": "Movement is sufficient, but market direction is divided.", "sample_size": 30, "up_pct": 30.0, "down_pct": 13.3, "active_pct": 70.0, "median_change_pct": -0.11, "median_range_pct": 3.79, "formula": "Liquid non-stable USDT pairs: volume &gt;= 10M; up/down threshold +/-1.5%; active logarithmic range threshold 3.0%; quiet active breadth threshold 35%; median direction threshold +/-1.0%."}</x:v>
      </x:c>
    </x:row>
    <x:row r="320" ht="21" customHeight="1">
      <x:c r="A320" s="8" t="n">
        <x:v>46279.04383101852</x:v>
      </x:c>
      <x:c r="B320" s="10" t="n">
        <x:v>1789336987</x:v>
      </x:c>
      <x:c r="C320" s="3" t="str">
        <x:v>production</x:v>
      </x:c>
      <x:c r="D320" s="3" t="str">
        <x:v>ACTIVE / MIXED</x:v>
      </x:c>
      <x:c r="E320" s="3" t="str">
        <x:v>Movement is sufficient, but market direction is divided.</x:v>
      </x:c>
      <x:c r="F320" s="10" t="n">
        <x:v>31</x:v>
      </x:c>
      <x:c r="G320" s="9" t="n">
        <x:v>22.6</x:v>
      </x:c>
      <x:c r="H320" s="9" t="n">
        <x:v>29</x:v>
      </x:c>
      <x:c r="I320" s="9" t="n">
        <x:v>74.2</x:v>
      </x:c>
      <x:c r="J320" s="9" t="n">
        <x:v>-0.85</x:v>
      </x:c>
      <x:c r="K320" s="9" t="n">
        <x:v>3.8</x:v>
      </x:c>
      <x:c r="L320" s="3" t="str">
        <x:v>Liquid non-stable USDT pairs: volume &gt;= 10M; up/down threshold +/-1.5%; active logarithmic range threshold 3.0%; quiet active breadth threshold 35%; median direction threshold +/-1.0%.</x:v>
      </x:c>
      <x:c r="M320" s="10" t="n">
        <x:v>975</x:v>
      </x:c>
      <x:c r="N320" s="3" t="str">
        <x:v>{"recorded_at": 1789336987, "environment": "production", "regime": "ACTIVE / MIXED", "expectation": "Movement is sufficient, but market direction is divided.", "sample_size": 31, "up_pct": 22.6, "down_pct": 29.0, "active_pct": 74.2, "median_change_pct": -0.85, "median_range_pct": 3.8, "formula": "Liquid non-stable USDT pairs: volume &gt;= 10M; up/down threshold +/-1.5%; active logarithmic range threshold 3.0%; quiet active breadth threshold 35%; median direction threshold +/-1.0%."}</x:v>
      </x:c>
    </x:row>
    <x:row r="321" ht="21" customHeight="1">
      <x:c r="A321" s="8" t="n">
        <x:v>46279.054456018515</x:v>
      </x:c>
      <x:c r="B321" s="10" t="n">
        <x:v>1789337905</x:v>
      </x:c>
      <x:c r="C321" s="3" t="str">
        <x:v>production</x:v>
      </x:c>
      <x:c r="D321" s="3" t="str">
        <x:v>ACTIVE / WEAK</x:v>
      </x:c>
      <x:c r="E321" s="3" t="str">
        <x:v>Broad selling pressure is elevated; new longs need caution.</x:v>
      </x:c>
      <x:c r="F321" s="10" t="n">
        <x:v>31</x:v>
      </x:c>
      <x:c r="G321" s="9" t="n">
        <x:v>22.6</x:v>
      </x:c>
      <x:c r="H321" s="9" t="n">
        <x:v>58.1</x:v>
      </x:c>
      <x:c r="I321" s="9" t="n">
        <x:v>77.4</x:v>
      </x:c>
      <x:c r="J321" s="9" t="n">
        <x:v>-2.04</x:v>
      </x:c>
      <x:c r="K321" s="9" t="n">
        <x:v>4.83</x:v>
      </x:c>
      <x:c r="L321" s="3" t="str">
        <x:v>Liquid non-stable USDT pairs: volume &gt;= 10M; up/down threshold +/-1.5%; active logarithmic range threshold 3.0%; quiet active breadth threshold 35%; median direction threshold +/-1.0%.</x:v>
      </x:c>
      <x:c r="M321" s="10" t="n">
        <x:v>976</x:v>
      </x:c>
      <x:c r="N321" s="3" t="str">
        <x:v>{"recorded_at": 1789337905, "environment": "production", "regime": "ACTIVE / WEAK", "expectation": "Broad selling pressure is elevated; new longs need caution.", "sample_size": 31, "up_pct": 22.6, "down_pct": 58.1, "active_pct": 77.4, "median_change_pct": -2.04, "median_range_pct": 4.83, "formula": "Liquid non-stable USDT pairs: volume &gt;= 10M; up/down threshold +/-1.5%; active logarithmic range threshold 3.0%; quiet active breadth threshold 35%; median direction threshold +/-1.0%."}</x:v>
      </x:c>
    </x:row>
    <x:row r="322" ht="21" customHeight="1">
      <x:c r="A322" s="8" t="n">
        <x:v>46279.0649537037</x:v>
      </x:c>
      <x:c r="B322" s="10" t="n">
        <x:v>1789338812</x:v>
      </x:c>
      <x:c r="C322" s="3" t="str">
        <x:v>production</x:v>
      </x:c>
      <x:c r="D322" s="3" t="str">
        <x:v>ACTIVE / WEAK</x:v>
      </x:c>
      <x:c r="E322" s="3" t="str">
        <x:v>Broad selling pressure is elevated; new longs need caution.</x:v>
      </x:c>
      <x:c r="F322" s="10" t="n">
        <x:v>31</x:v>
      </x:c>
      <x:c r="G322" s="9" t="n">
        <x:v>22.6</x:v>
      </x:c>
      <x:c r="H322" s="9" t="n">
        <x:v>58.1</x:v>
      </x:c>
      <x:c r="I322" s="9" t="n">
        <x:v>77.4</x:v>
      </x:c>
      <x:c r="J322" s="9" t="n">
        <x:v>-1.91</x:v>
      </x:c>
      <x:c r="K322" s="9" t="n">
        <x:v>5.32</x:v>
      </x:c>
      <x:c r="L322" s="3" t="str">
        <x:v>Liquid non-stable USDT pairs: volume &gt;= 10M; up/down threshold +/-1.5%; active logarithmic range threshold 3.0%; quiet active breadth threshold 35%; median direction threshold +/-1.0%.</x:v>
      </x:c>
      <x:c r="M322" s="10" t="n">
        <x:v>977</x:v>
      </x:c>
      <x:c r="N322" s="3" t="str">
        <x:v>{"recorded_at": 1789338812, "environment": "production", "regime": "ACTIVE / WEAK", "expectation": "Broad selling pressure is elevated; new longs need caution.", "sample_size": 31, "up_pct": 22.6, "down_pct": 58.1, "active_pct": 77.4, "median_change_pct": -1.91, "median_range_pct": 5.32, "formula": "Liquid non-stable USDT pairs: volume &gt;= 10M; up/down threshold +/-1.5%; active logarithmic range threshold 3.0%; quiet active breadth threshold 35%; median direction threshold +/-1.0%."}</x:v>
      </x:c>
    </x:row>
    <x:row r="323" ht="21" customHeight="1">
      <x:c r="A323" s="8" t="n">
        <x:v>46279.07541666667</x:v>
      </x:c>
      <x:c r="B323" s="10" t="n">
        <x:v>1789339716</x:v>
      </x:c>
      <x:c r="C323" s="3" t="str">
        <x:v>production</x:v>
      </x:c>
      <x:c r="D323" s="3" t="str">
        <x:v>ACTIVE / WEAK</x:v>
      </x:c>
      <x:c r="E323" s="3" t="str">
        <x:v>Broad selling pressure is elevated; new longs need caution.</x:v>
      </x:c>
      <x:c r="F323" s="10" t="n">
        <x:v>31</x:v>
      </x:c>
      <x:c r="G323" s="9" t="n">
        <x:v>22.6</x:v>
      </x:c>
      <x:c r="H323" s="9" t="n">
        <x:v>54.8</x:v>
      </x:c>
      <x:c r="I323" s="9" t="n">
        <x:v>77.4</x:v>
      </x:c>
      <x:c r="J323" s="9" t="n">
        <x:v>-1.62</x:v>
      </x:c>
      <x:c r="K323" s="9" t="n">
        <x:v>5.32</x:v>
      </x:c>
      <x:c r="L323" s="3" t="str">
        <x:v>Liquid non-stable USDT pairs: volume &gt;= 10M; up/down threshold +/-1.5%; active logarithmic range threshold 3.0%; quiet active breadth threshold 35%; median direction threshold +/-1.0%.</x:v>
      </x:c>
      <x:c r="M323" s="10" t="n">
        <x:v>978</x:v>
      </x:c>
      <x:c r="N323" s="3" t="str">
        <x:v>{"recorded_at": 1789339716, "environment": "production", "regime": "ACTIVE / WEAK", "expectation": "Broad selling pressure is elevated; new longs need caution.", "sample_size": 31, "up_pct": 22.6, "down_pct": 54.8, "active_pct": 77.4, "median_change_pct": -1.62, "median_range_pct": 5.32, "formula": "Liquid non-stable USDT pairs: volume &gt;= 10M; up/down threshold +/-1.5%; active logarithmic range threshold 3.0%; quiet active breadth threshold 35%; median direction threshold +/-1.0%."}</x:v>
      </x:c>
    </x:row>
    <x:row r="324" ht="21" customHeight="1">
      <x:c r="A324" s="8" t="n">
        <x:v>46279.085960648146</x:v>
      </x:c>
      <x:c r="B324" s="10" t="n">
        <x:v>1789340627</x:v>
      </x:c>
      <x:c r="C324" s="3" t="str">
        <x:v>production</x:v>
      </x:c>
      <x:c r="D324" s="3" t="str">
        <x:v>ACTIVE / WEAK</x:v>
      </x:c>
      <x:c r="E324" s="3" t="str">
        <x:v>Broad selling pressure is elevated; new longs need caution.</x:v>
      </x:c>
      <x:c r="F324" s="10" t="n">
        <x:v>31</x:v>
      </x:c>
      <x:c r="G324" s="9" t="n">
        <x:v>22.6</x:v>
      </x:c>
      <x:c r="H324" s="9" t="n">
        <x:v>54.8</x:v>
      </x:c>
      <x:c r="I324" s="9" t="n">
        <x:v>77.4</x:v>
      </x:c>
      <x:c r="J324" s="9" t="n">
        <x:v>-1.74</x:v>
      </x:c>
      <x:c r="K324" s="9" t="n">
        <x:v>5.32</x:v>
      </x:c>
      <x:c r="L324" s="3" t="str">
        <x:v>Liquid non-stable USDT pairs: volume &gt;= 10M; up/down threshold +/-1.5%; active logarithmic range threshold 3.0%; quiet active breadth threshold 35%; median direction threshold +/-1.0%.</x:v>
      </x:c>
      <x:c r="M324" s="10" t="n">
        <x:v>979</x:v>
      </x:c>
      <x:c r="N324" s="3" t="str">
        <x:v>{"recorded_at": 1789340627, "environment": "production", "regime": "ACTIVE / WEAK", "expectation": "Broad selling pressure is elevated; new longs need caution.", "sample_size": 31, "up_pct": 22.6, "down_pct": 54.8, "active_pct": 77.4, "median_change_pct": -1.74, "median_range_pct": 5.32, "formula": "Liquid non-stable USDT pairs: volume &gt;= 10M; up/down threshold +/-1.5%; active logarithmic range threshold 3.0%; quiet active breadth threshold 35%; median direction threshold +/-1.0%."}</x:v>
      </x:c>
    </x:row>
    <x:row r="325" ht="21" customHeight="1">
      <x:c r="A325" s="8" t="n">
        <x:v>46279.09644675926</x:v>
      </x:c>
      <x:c r="B325" s="10" t="n">
        <x:v>1789341533</x:v>
      </x:c>
      <x:c r="C325" s="3" t="str">
        <x:v>production</x:v>
      </x:c>
      <x:c r="D325" s="3" t="str">
        <x:v>ACTIVE / WEAK</x:v>
      </x:c>
      <x:c r="E325" s="3" t="str">
        <x:v>Broad selling pressure is elevated; new longs need caution.</x:v>
      </x:c>
      <x:c r="F325" s="10" t="n">
        <x:v>31</x:v>
      </x:c>
      <x:c r="G325" s="9" t="n">
        <x:v>22.6</x:v>
      </x:c>
      <x:c r="H325" s="9" t="n">
        <x:v>61.3</x:v>
      </x:c>
      <x:c r="I325" s="9" t="n">
        <x:v>77.4</x:v>
      </x:c>
      <x:c r="J325" s="9" t="n">
        <x:v>-2.1</x:v>
      </x:c>
      <x:c r="K325" s="9" t="n">
        <x:v>5.32</x:v>
      </x:c>
      <x:c r="L325" s="3" t="str">
        <x:v>Liquid non-stable USDT pairs: volume &gt;= 10M; up/down threshold +/-1.5%; active logarithmic range threshold 3.0%; quiet active breadth threshold 35%; median direction threshold +/-1.0%.</x:v>
      </x:c>
      <x:c r="M325" s="10" t="n">
        <x:v>980</x:v>
      </x:c>
      <x:c r="N325" s="3" t="str">
        <x:v>{"recorded_at": 1789341533, "environment": "production", "regime": "ACTIVE / WEAK", "expectation": "Broad selling pressure is elevated; new longs need caution.", "sample_size": 31, "up_pct": 22.6, "down_pct": 61.3, "active_pct": 77.4, "median_change_pct": -2.1, "median_range_pct": 5.32, "formula": "Liquid non-stable USDT pairs: volume &gt;= 10M; up/down threshold +/-1.5%; active logarithmic range threshold 3.0%; quiet active breadth threshold 35%; median direction threshold +/-1.0%."}</x:v>
      </x:c>
    </x:row>
    <x:row r="326" ht="21" customHeight="1">
      <x:c r="A326" s="8" t="n">
        <x:v>46279.10689814815</x:v>
      </x:c>
      <x:c r="B326" s="10" t="n">
        <x:v>1789342436</x:v>
      </x:c>
      <x:c r="C326" s="3" t="str">
        <x:v>production</x:v>
      </x:c>
      <x:c r="D326" s="3" t="str">
        <x:v>ACTIVE / WEAK</x:v>
      </x:c>
      <x:c r="E326" s="3" t="str">
        <x:v>Broad selling pressure is elevated; new longs need caution.</x:v>
      </x:c>
      <x:c r="F326" s="10" t="n">
        <x:v>32</x:v>
      </x:c>
      <x:c r="G326" s="9" t="n">
        <x:v>21.9</x:v>
      </x:c>
      <x:c r="H326" s="9" t="n">
        <x:v>53.1</x:v>
      </x:c>
      <x:c r="I326" s="9" t="n">
        <x:v>78.1</x:v>
      </x:c>
      <x:c r="J326" s="9" t="n">
        <x:v>-1.72</x:v>
      </x:c>
      <x:c r="K326" s="9" t="n">
        <x:v>5.16</x:v>
      </x:c>
      <x:c r="L326" s="3" t="str">
        <x:v>Liquid non-stable USDT pairs: volume &gt;= 10M; up/down threshold +/-1.5%; active logarithmic range threshold 3.0%; quiet active breadth threshold 35%; median direction threshold +/-1.0%.</x:v>
      </x:c>
      <x:c r="M326" s="10" t="n">
        <x:v>981</x:v>
      </x:c>
      <x:c r="N326" s="3" t="str">
        <x:v>{"recorded_at": 1789342436, "environment": "production", "regime": "ACTIVE / WEAK", "expectation": "Broad selling pressure is elevated; new longs need caution.", "sample_size": 32, "up_pct": 21.9, "down_pct": 53.1, "active_pct": 78.1, "median_change_pct": -1.72, "median_range_pct": 5.16, "formula": "Liquid non-stable USDT pairs: volume &gt;= 10M; up/down threshold +/-1.5%; active logarithmic range threshold 3.0%; quiet active breadth threshold 35%; median direction threshold +/-1.0%."}</x:v>
      </x:c>
    </x:row>
    <x:row r="327" ht="21" customHeight="1">
      <x:c r="A327" s="8" t="n">
        <x:v>46279.11746527778</x:v>
      </x:c>
      <x:c r="B327" s="10" t="n">
        <x:v>1789343349</x:v>
      </x:c>
      <x:c r="C327" s="3" t="str">
        <x:v>production</x:v>
      </x:c>
      <x:c r="D327" s="3" t="str">
        <x:v>ACTIVE / WEAK</x:v>
      </x:c>
      <x:c r="E327" s="3" t="str">
        <x:v>Broad selling pressure is elevated; new longs need caution.</x:v>
      </x:c>
      <x:c r="F327" s="10" t="n">
        <x:v>33</x:v>
      </x:c>
      <x:c r="G327" s="9" t="n">
        <x:v>21.2</x:v>
      </x:c>
      <x:c r="H327" s="9" t="n">
        <x:v>60.6</x:v>
      </x:c>
      <x:c r="I327" s="9" t="n">
        <x:v>78.8</x:v>
      </x:c>
      <x:c r="J327" s="9" t="n">
        <x:v>-1.93</x:v>
      </x:c>
      <x:c r="K327" s="9" t="n">
        <x:v>4.99</x:v>
      </x:c>
      <x:c r="L327" s="3" t="str">
        <x:v>Liquid non-stable USDT pairs: volume &gt;= 10M; up/down threshold +/-1.5%; active logarithmic range threshold 3.0%; quiet active breadth threshold 35%; median direction threshold +/-1.0%.</x:v>
      </x:c>
      <x:c r="M327" s="10" t="n">
        <x:v>982</x:v>
      </x:c>
      <x:c r="N327" s="3" t="str">
        <x:v>{"recorded_at": 1789343349, "environment": "production", "regime": "ACTIVE / WEAK", "expectation": "Broad selling pressure is elevated; new longs need caution.", "sample_size": 33, "up_pct": 21.2, "down_pct": 60.6, "active_pct": 78.8, "median_change_pct": -1.93, "median_range_pct": 4.99, "formula": "Liquid non-stable USDT pairs: volume &gt;= 10M; up/down threshold +/-1.5%; active logarithmic range threshold 3.0%; quiet active breadth threshold 35%; median direction threshold +/-1.0%."}</x:v>
      </x:c>
    </x:row>
    <x:row r="328" ht="21" customHeight="1">
      <x:c r="A328" s="8" t="n">
        <x:v>46279.128275462965</x:v>
      </x:c>
      <x:c r="B328" s="10" t="n">
        <x:v>1789344283</x:v>
      </x:c>
      <x:c r="C328" s="3" t="str">
        <x:v>production</x:v>
      </x:c>
      <x:c r="D328" s="3" t="str">
        <x:v>ACTIVE / WEAK</x:v>
      </x:c>
      <x:c r="E328" s="3" t="str">
        <x:v>Broad selling pressure is elevated; new longs need caution.</x:v>
      </x:c>
      <x:c r="F328" s="10" t="n">
        <x:v>34</x:v>
      </x:c>
      <x:c r="G328" s="9" t="n">
        <x:v>20.6</x:v>
      </x:c>
      <x:c r="H328" s="9" t="n">
        <x:v>64.7</x:v>
      </x:c>
      <x:c r="I328" s="9" t="n">
        <x:v>82.4</x:v>
      </x:c>
      <x:c r="J328" s="9" t="n">
        <x:v>-2.18</x:v>
      </x:c>
      <x:c r="K328" s="9" t="n">
        <x:v>5.07</x:v>
      </x:c>
      <x:c r="L328" s="3" t="str">
        <x:v>Liquid non-stable USDT pairs: volume &gt;= 10M; up/down threshold +/-1.5%; active logarithmic range threshold 3.0%; quiet active breadth threshold 35%; median direction threshold +/-1.0%.</x:v>
      </x:c>
      <x:c r="M328" s="10" t="n">
        <x:v>983</x:v>
      </x:c>
      <x:c r="N328" s="3" t="str">
        <x:v>{"recorded_at": 1789344283, "environment": "production", "regime": "ACTIVE / WEAK", "expectation": "Broad selling pressure is elevated; new longs need caution.", "sample_size": 34, "up_pct": 20.6, "down_pct": 64.7, "active_pct": 82.4, "median_change_pct": -2.18, "median_range_pct": 5.07, "formula": "Liquid non-stable USDT pairs: volume &gt;= 10M; up/down threshold +/-1.5%; active logarithmic range threshold 3.0%; quiet active breadth threshold 35%; median direction threshold +/-1.0%."}</x:v>
      </x:c>
    </x:row>
    <x:row r="329" ht="21" customHeight="1">
      <x:c r="A329" s="8" t="n">
        <x:v>46279.1387962963</x:v>
      </x:c>
      <x:c r="B329" s="10" t="n">
        <x:v>1789345192</x:v>
      </x:c>
      <x:c r="C329" s="3" t="str">
        <x:v>production</x:v>
      </x:c>
      <x:c r="D329" s="3" t="str">
        <x:v>ACTIVE / WEAK</x:v>
      </x:c>
      <x:c r="E329" s="3" t="str">
        <x:v>Broad selling pressure is elevated; new longs need caution.</x:v>
      </x:c>
      <x:c r="F329" s="10" t="n">
        <x:v>34</x:v>
      </x:c>
      <x:c r="G329" s="9" t="n">
        <x:v>20.6</x:v>
      </x:c>
      <x:c r="H329" s="9" t="n">
        <x:v>55.9</x:v>
      </x:c>
      <x:c r="I329" s="9" t="n">
        <x:v>82.4</x:v>
      </x:c>
      <x:c r="J329" s="9" t="n">
        <x:v>-1.73</x:v>
      </x:c>
      <x:c r="K329" s="9" t="n">
        <x:v>5.01</x:v>
      </x:c>
      <x:c r="L329" s="3" t="str">
        <x:v>Liquid non-stable USDT pairs: volume &gt;= 10M; up/down threshold +/-1.5%; active logarithmic range threshold 3.0%; quiet active breadth threshold 35%; median direction threshold +/-1.0%.</x:v>
      </x:c>
      <x:c r="M329" s="10" t="n">
        <x:v>984</x:v>
      </x:c>
      <x:c r="N329" s="3" t="str">
        <x:v>{"recorded_at": 1789345192, "environment": "production", "regime": "ACTIVE / WEAK", "expectation": "Broad selling pressure is elevated; new longs need caution.", "sample_size": 34, "up_pct": 20.6, "down_pct": 55.9, "active_pct": 82.4, "median_change_pct": -1.73, "median_range_pct": 5.01, "formula": "Liquid non-stable USDT pairs: volume &gt;= 10M; up/down threshold +/-1.5%; active logarithmic range threshold 3.0%; quiet active breadth threshold 35%; median direction threshold +/-1.0%."}</x:v>
      </x:c>
    </x:row>
    <x:row r="330" ht="21" customHeight="1">
      <x:c r="A330" s="8" t="n">
        <x:v>46279.14958333333</x:v>
      </x:c>
      <x:c r="B330" s="10" t="n">
        <x:v>1789346124</x:v>
      </x:c>
      <x:c r="C330" s="3" t="str">
        <x:v>production</x:v>
      </x:c>
      <x:c r="D330" s="3" t="str">
        <x:v>ACTIVE / WEAK</x:v>
      </x:c>
      <x:c r="E330" s="3" t="str">
        <x:v>Broad selling pressure is elevated; new longs need caution.</x:v>
      </x:c>
      <x:c r="F330" s="10" t="n">
        <x:v>35</x:v>
      </x:c>
      <x:c r="G330" s="9" t="n">
        <x:v>20</x:v>
      </x:c>
      <x:c r="H330" s="9" t="n">
        <x:v>60</x:v>
      </x:c>
      <x:c r="I330" s="9" t="n">
        <x:v>82.9</x:v>
      </x:c>
      <x:c r="J330" s="9" t="n">
        <x:v>-2.04</x:v>
      </x:c>
      <x:c r="K330" s="9" t="n">
        <x:v>5.33</x:v>
      </x:c>
      <x:c r="L330" s="3" t="str">
        <x:v>Liquid non-stable USDT pairs: volume &gt;= 10M; up/down threshold +/-1.5%; active logarithmic range threshold 3.0%; quiet active breadth threshold 35%; median direction threshold +/-1.0%.</x:v>
      </x:c>
      <x:c r="M330" s="10" t="n">
        <x:v>985</x:v>
      </x:c>
      <x:c r="N330" s="3" t="str">
        <x:v>{"recorded_at": 1789346124, "environment": "production", "regime": "ACTIVE / WEAK", "expectation": "Broad selling pressure is elevated; new longs need caution.", "sample_size": 35, "up_pct": 20.0, "down_pct": 60.0, "active_pct": 82.9, "median_change_pct": -2.04, "median_range_pct": 5.33, "formula": "Liquid non-stable USDT pairs: volume &gt;= 10M; up/down threshold +/-1.5%; active logarithmic range threshold 3.0%; quiet active breadth threshold 35%; median direction threshold +/-1.0%."}</x:v>
      </x:c>
    </x:row>
    <x:row r="331" ht="21" customHeight="1">
      <x:c r="A331" s="8" t="n">
        <x:v>46279.160358796296</x:v>
      </x:c>
      <x:c r="B331" s="10" t="n">
        <x:v>1789347055</x:v>
      </x:c>
      <x:c r="C331" s="3" t="str">
        <x:v>production</x:v>
      </x:c>
      <x:c r="D331" s="3" t="str">
        <x:v>ACTIVE / WEAK</x:v>
      </x:c>
      <x:c r="E331" s="3" t="str">
        <x:v>Broad selling pressure is elevated; new longs need caution.</x:v>
      </x:c>
      <x:c r="F331" s="10" t="n">
        <x:v>35</x:v>
      </x:c>
      <x:c r="G331" s="9" t="n">
        <x:v>20</x:v>
      </x:c>
      <x:c r="H331" s="9" t="n">
        <x:v>57.1</x:v>
      </x:c>
      <x:c r="I331" s="9" t="n">
        <x:v>82.9</x:v>
      </x:c>
      <x:c r="J331" s="9" t="n">
        <x:v>-1.62</x:v>
      </x:c>
      <x:c r="K331" s="9" t="n">
        <x:v>5.33</x:v>
      </x:c>
      <x:c r="L331" s="3" t="str">
        <x:v>Liquid non-stable USDT pairs: volume &gt;= 10M; up/down threshold +/-1.5%; active logarithmic range threshold 3.0%; quiet active breadth threshold 35%; median direction threshold +/-1.0%.</x:v>
      </x:c>
      <x:c r="M331" s="10" t="n">
        <x:v>986</x:v>
      </x:c>
      <x:c r="N331" s="3" t="str">
        <x:v>{"recorded_at": 1789347055, "environment": "production", "regime": "ACTIVE / WEAK", "expectation": "Broad selling pressure is elevated; new longs need caution.", "sample_size": 35, "up_pct": 20.0, "down_pct": 57.1, "active_pct": 82.9, "median_change_pct": -1.62, "median_range_pct": 5.33, "formula": "Liquid non-stable USDT pairs: volume &gt;= 10M; up/down threshold +/-1.5%; active logarithmic range threshold 3.0%; quiet active breadth threshold 35%; median direction threshold +/-1.0%."}</x:v>
      </x:c>
    </x:row>
    <x:row r="332" ht="21" customHeight="1">
      <x:c r="A332" s="8" t="n">
        <x:v>46279.17115740741</x:v>
      </x:c>
      <x:c r="B332" s="10" t="n">
        <x:v>1789347988</x:v>
      </x:c>
      <x:c r="C332" s="3" t="str">
        <x:v>production</x:v>
      </x:c>
      <x:c r="D332" s="3" t="str">
        <x:v>ACTIVE / WEAK</x:v>
      </x:c>
      <x:c r="E332" s="3" t="str">
        <x:v>Broad selling pressure is elevated; new longs need caution.</x:v>
      </x:c>
      <x:c r="F332" s="10" t="n">
        <x:v>35</x:v>
      </x:c>
      <x:c r="G332" s="9" t="n">
        <x:v>20</x:v>
      </x:c>
      <x:c r="H332" s="9" t="n">
        <x:v>60</x:v>
      </x:c>
      <x:c r="I332" s="9" t="n">
        <x:v>82.9</x:v>
      </x:c>
      <x:c r="J332" s="9" t="n">
        <x:v>-1.97</x:v>
      </x:c>
      <x:c r="K332" s="9" t="n">
        <x:v>5.33</x:v>
      </x:c>
      <x:c r="L332" s="3" t="str">
        <x:v>Liquid non-stable USDT pairs: volume &gt;= 10M; up/down threshold +/-1.5%; active logarithmic range threshold 3.0%; quiet active breadth threshold 35%; median direction threshold +/-1.0%.</x:v>
      </x:c>
      <x:c r="M332" s="10" t="n">
        <x:v>987</x:v>
      </x:c>
      <x:c r="N332" s="3" t="str">
        <x:v>{"recorded_at": 1789347988, "environment": "production", "regime": "ACTIVE / WEAK", "expectation": "Broad selling pressure is elevated; new longs need caution.", "sample_size": 35, "up_pct": 20.0, "down_pct": 60.0, "active_pct": 82.9, "median_change_pct": -1.97, "median_range_pct": 5.33, "formula": "Liquid non-stable USDT pairs: volume &gt;= 10M; up/down threshold +/-1.5%; active logarithmic range threshold 3.0%; quiet active breadth threshold 35%; median direction threshold +/-1.0%."}</x:v>
      </x:c>
    </x:row>
    <x:row r="333" ht="21" customHeight="1">
      <x:c r="A333" s="8" t="n">
        <x:v>46279.1818287037</x:v>
      </x:c>
      <x:c r="B333" s="10" t="n">
        <x:v>1789348910</x:v>
      </x:c>
      <x:c r="C333" s="3" t="str">
        <x:v>production</x:v>
      </x:c>
      <x:c r="D333" s="3" t="str">
        <x:v>ACTIVE / WEAK</x:v>
      </x:c>
      <x:c r="E333" s="3" t="str">
        <x:v>Broad selling pressure is elevated; new longs need caution.</x:v>
      </x:c>
      <x:c r="F333" s="10" t="n">
        <x:v>36</x:v>
      </x:c>
      <x:c r="G333" s="9" t="n">
        <x:v>19.4</x:v>
      </x:c>
      <x:c r="H333" s="9" t="n">
        <x:v>63.9</x:v>
      </x:c>
      <x:c r="I333" s="9" t="n">
        <x:v>80.6</x:v>
      </x:c>
      <x:c r="J333" s="9" t="n">
        <x:v>-2.17</x:v>
      </x:c>
      <x:c r="K333" s="9" t="n">
        <x:v>5.32</x:v>
      </x:c>
      <x:c r="L333" s="3" t="str">
        <x:v>Liquid non-stable USDT pairs: volume &gt;= 10M; up/down threshold +/-1.5%; active logarithmic range threshold 3.0%; quiet active breadth threshold 35%; median direction threshold +/-1.0%.</x:v>
      </x:c>
      <x:c r="M333" s="10" t="n">
        <x:v>988</x:v>
      </x:c>
      <x:c r="N333" s="3" t="str">
        <x:v>{"recorded_at": 1789348910, "environment": "production", "regime": "ACTIVE / WEAK", "expectation": "Broad selling pressure is elevated; new longs need caution.", "sample_size": 36, "up_pct": 19.4, "down_pct": 63.9, "active_pct": 80.6, "median_change_pct": -2.17, "median_range_pct": 5.32, "formula": "Liquid non-stable USDT pairs: volume &gt;= 10M; up/down threshold +/-1.5%; active logarithmic range threshold 3.0%; quiet active breadth threshold 35%; median direction threshold +/-1.0%."}</x:v>
      </x:c>
    </x:row>
    <x:row r="334" ht="21" customHeight="1">
      <x:c r="A334" s="8" t="n">
        <x:v>46279.192395833335</x:v>
      </x:c>
      <x:c r="B334" s="10" t="n">
        <x:v>1789349823</x:v>
      </x:c>
      <x:c r="C334" s="3" t="str">
        <x:v>production</x:v>
      </x:c>
      <x:c r="D334" s="3" t="str">
        <x:v>ACTIVE / WEAK</x:v>
      </x:c>
      <x:c r="E334" s="3" t="str">
        <x:v>Broad selling pressure is elevated; new longs need caution.</x:v>
      </x:c>
      <x:c r="F334" s="10" t="n">
        <x:v>36</x:v>
      </x:c>
      <x:c r="G334" s="9" t="n">
        <x:v>19.4</x:v>
      </x:c>
      <x:c r="H334" s="9" t="n">
        <x:v>63.9</x:v>
      </x:c>
      <x:c r="I334" s="9" t="n">
        <x:v>80.6</x:v>
      </x:c>
      <x:c r="J334" s="9" t="n">
        <x:v>-2</x:v>
      </x:c>
      <x:c r="K334" s="9" t="n">
        <x:v>5.18</x:v>
      </x:c>
      <x:c r="L334" s="3" t="str">
        <x:v>Liquid non-stable USDT pairs: volume &gt;= 10M; up/down threshold +/-1.5%; active logarithmic range threshold 3.0%; quiet active breadth threshold 35%; median direction threshold +/-1.0%.</x:v>
      </x:c>
      <x:c r="M334" s="10" t="n">
        <x:v>989</x:v>
      </x:c>
      <x:c r="N334" s="3" t="str">
        <x:v>{"recorded_at": 1789349823, "environment": "production", "regime": "ACTIVE / WEAK", "expectation": "Broad selling pressure is elevated; new longs need caution.", "sample_size": 36, "up_pct": 19.4, "down_pct": 63.9, "active_pct": 80.6, "median_change_pct": -2.0, "median_range_pct": 5.18, "formula": "Liquid non-stable USDT pairs: volume &gt;= 10M; up/down threshold +/-1.5%; active logarithmic range threshold 3.0%; quiet active breadth threshold 35%; median direction threshold +/-1.0%."}</x:v>
      </x:c>
    </x:row>
    <x:row r="335" ht="21" customHeight="1">
      <x:c r="A335" s="8" t="n">
        <x:v>46279.20298611111</x:v>
      </x:c>
      <x:c r="B335" s="10" t="n">
        <x:v>1789350738</x:v>
      </x:c>
      <x:c r="C335" s="3" t="str">
        <x:v>production</x:v>
      </x:c>
      <x:c r="D335" s="3" t="str">
        <x:v>ACTIVE / WEAK</x:v>
      </x:c>
      <x:c r="E335" s="3" t="str">
        <x:v>Broad selling pressure is elevated; new longs need caution.</x:v>
      </x:c>
      <x:c r="F335" s="10" t="n">
        <x:v>36</x:v>
      </x:c>
      <x:c r="G335" s="9" t="n">
        <x:v>19.4</x:v>
      </x:c>
      <x:c r="H335" s="9" t="n">
        <x:v>63.9</x:v>
      </x:c>
      <x:c r="I335" s="9" t="n">
        <x:v>80.6</x:v>
      </x:c>
      <x:c r="J335" s="9" t="n">
        <x:v>-1.98</x:v>
      </x:c>
      <x:c r="K335" s="9" t="n">
        <x:v>5.16</x:v>
      </x:c>
      <x:c r="L335" s="3" t="str">
        <x:v>Liquid non-stable USDT pairs: volume &gt;= 10M; up/down threshold +/-1.5%; active logarithmic range threshold 3.0%; quiet active breadth threshold 35%; median direction threshold +/-1.0%.</x:v>
      </x:c>
      <x:c r="M335" s="10" t="n">
        <x:v>990</x:v>
      </x:c>
      <x:c r="N335" s="3" t="str">
        <x:v>{"recorded_at": 1789350738, "environment": "production", "regime": "ACTIVE / WEAK", "expectation": "Broad selling pressure is elevated; new longs need caution.", "sample_size": 36, "up_pct": 19.4, "down_pct": 63.9, "active_pct": 80.6, "median_change_pct": -1.98, "median_range_pct": 5.16, "formula": "Liquid non-stable USDT pairs: volume &gt;= 10M; up/down threshold +/-1.5%; active logarithmic range threshold 3.0%; quiet active breadth threshold 35%; median direction threshold +/-1.0%."}</x:v>
      </x:c>
    </x:row>
    <x:row r="336" ht="21" customHeight="1">
      <x:c r="A336" s="8" t="n">
        <x:v>46279.21372685185</x:v>
      </x:c>
      <x:c r="B336" s="10" t="n">
        <x:v>1789351666</x:v>
      </x:c>
      <x:c r="C336" s="3" t="str">
        <x:v>production</x:v>
      </x:c>
      <x:c r="D336" s="3" t="str">
        <x:v>ACTIVE / WEAK</x:v>
      </x:c>
      <x:c r="E336" s="3" t="str">
        <x:v>Broad selling pressure is elevated; new longs need caution.</x:v>
      </x:c>
      <x:c r="F336" s="10" t="n">
        <x:v>35</x:v>
      </x:c>
      <x:c r="G336" s="9" t="n">
        <x:v>17.1</x:v>
      </x:c>
      <x:c r="H336" s="9" t="n">
        <x:v>40</x:v>
      </x:c>
      <x:c r="I336" s="9" t="n">
        <x:v>80</x:v>
      </x:c>
      <x:c r="J336" s="9" t="n">
        <x:v>-1.1</x:v>
      </x:c>
      <x:c r="K336" s="9" t="n">
        <x:v>5.12</x:v>
      </x:c>
      <x:c r="L336" s="3" t="str">
        <x:v>Liquid non-stable USDT pairs: volume &gt;= 10M; up/down threshold +/-1.5%; active logarithmic range threshold 3.0%; quiet active breadth threshold 35%; median direction threshold +/-1.0%.</x:v>
      </x:c>
      <x:c r="M336" s="10" t="n">
        <x:v>991</x:v>
      </x:c>
      <x:c r="N336" s="3" t="str">
        <x:v>{"recorded_at": 1789351666, "environment": "production", "regime": "ACTIVE / WEAK", "expectation": "Broad selling pressure is elevated; new longs need caution.", "sample_size": 35, "up_pct": 17.1, "down_pct": 40.0, "active_pct": 80.0, "median_change_pct": -1.1, "median_range_pct": 5.12, "formula": "Liquid non-stable USDT pairs: volume &gt;= 10M; up/down threshold +/-1.5%; active logarithmic range threshold 3.0%; quiet active breadth threshold 35%; median direction threshold +/-1.0%."}</x:v>
      </x:c>
    </x:row>
    <x:row r="337" ht="21" customHeight="1">
      <x:c r="A337" s="8" t="n">
        <x:v>46279.22440972222</x:v>
      </x:c>
      <x:c r="B337" s="10" t="n">
        <x:v>1789352589</x:v>
      </x:c>
      <x:c r="C337" s="3" t="str">
        <x:v>production</x:v>
      </x:c>
      <x:c r="D337" s="3" t="str">
        <x:v>ACTIVE / MIXED</x:v>
      </x:c>
      <x:c r="E337" s="3" t="str">
        <x:v>Movement is sufficient, but market direction is divided.</x:v>
      </x:c>
      <x:c r="F337" s="10" t="n">
        <x:v>34</x:v>
      </x:c>
      <x:c r="G337" s="9" t="n">
        <x:v>17.6</x:v>
      </x:c>
      <x:c r="H337" s="9" t="n">
        <x:v>26.5</x:v>
      </x:c>
      <x:c r="I337" s="9" t="n">
        <x:v>79.4</x:v>
      </x:c>
      <x:c r="J337" s="9" t="n">
        <x:v>-0.57</x:v>
      </x:c>
      <x:c r="K337" s="9" t="n">
        <x:v>5.13</x:v>
      </x:c>
      <x:c r="L337" s="3" t="str">
        <x:v>Liquid non-stable USDT pairs: volume &gt;= 10M; up/down threshold +/-1.5%; active logarithmic range threshold 3.0%; quiet active breadth threshold 35%; median direction threshold +/-1.0%.</x:v>
      </x:c>
      <x:c r="M337" s="10" t="n">
        <x:v>992</x:v>
      </x:c>
      <x:c r="N337" s="3" t="str">
        <x:v>{"recorded_at": 1789352589, "environment": "production", "regime": "ACTIVE / MIXED", "expectation": "Movement is sufficient, but market direction is divided.", "sample_size": 34, "up_pct": 17.6, "down_pct": 26.5, "active_pct": 79.4, "median_change_pct": -0.57, "median_range_pct": 5.13, "formula": "Liquid non-stable USDT pairs: volume &gt;= 10M; up/down threshold +/-1.5%; active logarithmic range threshold 3.0%; quiet active breadth threshold 35%; median direction threshold +/-1.0%."}</x:v>
      </x:c>
    </x:row>
    <x:row r="338" ht="21" customHeight="1">
      <x:c r="A338" s="8" t="n">
        <x:v>46279.23516203704</x:v>
      </x:c>
      <x:c r="B338" s="10" t="n">
        <x:v>1789353518</x:v>
      </x:c>
      <x:c r="C338" s="3" t="str">
        <x:v>production</x:v>
      </x:c>
      <x:c r="D338" s="3" t="str">
        <x:v>ACTIVE / MIXED</x:v>
      </x:c>
      <x:c r="E338" s="3" t="str">
        <x:v>Movement is sufficient, but market direction is divided.</x:v>
      </x:c>
      <x:c r="F338" s="10" t="n">
        <x:v>34</x:v>
      </x:c>
      <x:c r="G338" s="9" t="n">
        <x:v>14.7</x:v>
      </x:c>
      <x:c r="H338" s="9" t="n">
        <x:v>20.6</x:v>
      </x:c>
      <x:c r="I338" s="9" t="n">
        <x:v>79.4</x:v>
      </x:c>
      <x:c r="J338" s="9" t="n">
        <x:v>-0.43</x:v>
      </x:c>
      <x:c r="K338" s="9" t="n">
        <x:v>5.13</x:v>
      </x:c>
      <x:c r="L338" s="3" t="str">
        <x:v>Liquid non-stable USDT pairs: volume &gt;= 10M; up/down threshold +/-1.5%; active logarithmic range threshold 3.0%; quiet active breadth threshold 35%; median direction threshold +/-1.0%.</x:v>
      </x:c>
      <x:c r="M338" s="10" t="n">
        <x:v>993</x:v>
      </x:c>
      <x:c r="N338" s="3" t="str">
        <x:v>{"recorded_at": 1789353518, "environment": "production", "regime": "ACTIVE / MIXED", "expectation": "Movement is sufficient, but market direction is divided.", "sample_size": 34, "up_pct": 14.7, "down_pct": 20.6, "active_pct": 79.4, "median_change_pct": -0.43, "median_range_pct": 5.13, "formula": "Liquid non-stable USDT pairs: volume &gt;= 10M; up/down threshold +/-1.5%; active logarithmic range threshold 3.0%; quiet active breadth threshold 35%; median direction threshold +/-1.0%."}</x:v>
      </x:c>
    </x:row>
    <x:row r="339" ht="21" customHeight="1">
      <x:c r="A339" s="8" t="n">
        <x:v>46279.245891203704</x:v>
      </x:c>
      <x:c r="B339" s="10" t="n">
        <x:v>1789354445</x:v>
      </x:c>
      <x:c r="C339" s="3" t="str">
        <x:v>production</x:v>
      </x:c>
      <x:c r="D339" s="3" t="str">
        <x:v>ACTIVE / MIXED</x:v>
      </x:c>
      <x:c r="E339" s="3" t="str">
        <x:v>Movement is sufficient, but market direction is divided.</x:v>
      </x:c>
      <x:c r="F339" s="10" t="n">
        <x:v>34</x:v>
      </x:c>
      <x:c r="G339" s="9" t="n">
        <x:v>17.6</x:v>
      </x:c>
      <x:c r="H339" s="9" t="n">
        <x:v>20.6</x:v>
      </x:c>
      <x:c r="I339" s="9" t="n">
        <x:v>79.4</x:v>
      </x:c>
      <x:c r="J339" s="9" t="n">
        <x:v>-0.45</x:v>
      </x:c>
      <x:c r="K339" s="9" t="n">
        <x:v>5.02</x:v>
      </x:c>
      <x:c r="L339" s="3" t="str">
        <x:v>Liquid non-stable USDT pairs: volume &gt;= 10M; up/down threshold +/-1.5%; active logarithmic range threshold 3.0%; quiet active breadth threshold 35%; median direction threshold +/-1.0%.</x:v>
      </x:c>
      <x:c r="M339" s="10" t="n">
        <x:v>994</x:v>
      </x:c>
      <x:c r="N339" s="3" t="str">
        <x:v>{"recorded_at": 1789354445, "environment": "production", "regime": "ACTIVE / MIXED", "expectation": "Movement is sufficient, but market direction is divided.", "sample_size": 34, "up_pct": 17.6, "down_pct": 20.6, "active_pct": 79.4, "median_change_pct": -0.45, "median_range_pct": 5.02, "formula": "Liquid non-stable USDT pairs: volume &gt;= 10M; up/down threshold +/-1.5%; active logarithmic range threshold 3.0%; quiet active breadth threshold 35%; median direction threshold +/-1.0%."}</x:v>
      </x:c>
    </x:row>
    <x:row r="340" ht="21" customHeight="1">
      <x:c r="A340" s="8" t="n">
        <x:v>46279.256689814814</x:v>
      </x:c>
      <x:c r="B340" s="10" t="n">
        <x:v>1789355378</x:v>
      </x:c>
      <x:c r="C340" s="3" t="str">
        <x:v>production</x:v>
      </x:c>
      <x:c r="D340" s="3" t="str">
        <x:v>ACTIVE / MIXED</x:v>
      </x:c>
      <x:c r="E340" s="3" t="str">
        <x:v>Movement is sufficient, but market direction is divided.</x:v>
      </x:c>
      <x:c r="F340" s="10" t="n">
        <x:v>34</x:v>
      </x:c>
      <x:c r="G340" s="9" t="n">
        <x:v>14.7</x:v>
      </x:c>
      <x:c r="H340" s="9" t="n">
        <x:v>17.6</x:v>
      </x:c>
      <x:c r="I340" s="9" t="n">
        <x:v>79.4</x:v>
      </x:c>
      <x:c r="J340" s="9" t="n">
        <x:v>-0.13</x:v>
      </x:c>
      <x:c r="K340" s="9" t="n">
        <x:v>5.02</x:v>
      </x:c>
      <x:c r="L340" s="3" t="str">
        <x:v>Liquid non-stable USDT pairs: volume &gt;= 10M; up/down threshold +/-1.5%; active logarithmic range threshold 3.0%; quiet active breadth threshold 35%; median direction threshold +/-1.0%.</x:v>
      </x:c>
      <x:c r="M340" s="10" t="n">
        <x:v>995</x:v>
      </x:c>
      <x:c r="N340" s="3" t="str">
        <x:v>{"recorded_at": 1789355378, "environment": "production", "regime": "ACTIVE / MIXED", "expectation": "Movement is sufficient, but market direction is divided.", "sample_size": 34, "up_pct": 14.7, "down_pct": 17.6, "active_pct": 79.4, "median_change_pct": -0.13, "median_range_pct": 5.02, "formula": "Liquid non-stable USDT pairs: volume &gt;= 10M; up/down threshold +/-1.5%; active logarithmic range threshold 3.0%; quiet active breadth threshold 35%; median direction threshold +/-1.0%."}</x:v>
      </x:c>
    </x:row>
    <x:row r="341" ht="21" customHeight="1">
      <x:c r="A341" s="8" t="n">
        <x:v>46279.2674537037</x:v>
      </x:c>
      <x:c r="B341" s="10" t="n">
        <x:v>1789356308</x:v>
      </x:c>
      <x:c r="C341" s="3" t="str">
        <x:v>production</x:v>
      </x:c>
      <x:c r="D341" s="3" t="str">
        <x:v>ACTIVE / MIXED</x:v>
      </x:c>
      <x:c r="E341" s="3" t="str">
        <x:v>Movement is sufficient, but market direction is divided.</x:v>
      </x:c>
      <x:c r="F341" s="10" t="n">
        <x:v>35</x:v>
      </x:c>
      <x:c r="G341" s="9" t="n">
        <x:v>11.4</x:v>
      </x:c>
      <x:c r="H341" s="9" t="n">
        <x:v>25.7</x:v>
      </x:c>
      <x:c r="I341" s="9" t="n">
        <x:v>80</x:v>
      </x:c>
      <x:c r="J341" s="9" t="n">
        <x:v>-0.53</x:v>
      </x:c>
      <x:c r="K341" s="9" t="n">
        <x:v>5.02</x:v>
      </x:c>
      <x:c r="L341" s="3" t="str">
        <x:v>Liquid non-stable USDT pairs: volume &gt;= 10M; up/down threshold +/-1.5%; active logarithmic range threshold 3.0%; quiet active breadth threshold 35%; median direction threshold +/-1.0%.</x:v>
      </x:c>
      <x:c r="M341" s="10" t="n">
        <x:v>996</x:v>
      </x:c>
      <x:c r="N341" s="3" t="str">
        <x:v>{"recorded_at": 1789356308, "environment": "production", "regime": "ACTIVE / MIXED", "expectation": "Movement is sufficient, but market direction is divided.", "sample_size": 35, "up_pct": 11.4, "down_pct": 25.7, "active_pct": 80.0, "median_change_pct": -0.53, "median_range_pct": 5.02, "formula": "Liquid non-stable USDT pairs: volume &gt;= 10M; up/down threshold +/-1.5%; active logarithmic range threshold 3.0%; quiet active breadth threshold 35%; median direction threshold +/-1.0%."}</x:v>
      </x:c>
    </x:row>
    <x:row r="342" ht="21" customHeight="1">
      <x:c r="A342" s="8" t="n">
        <x:v>46279.27789351852</x:v>
      </x:c>
      <x:c r="B342" s="10" t="n">
        <x:v>1789357210</x:v>
      </x:c>
      <x:c r="C342" s="3" t="str">
        <x:v>production</x:v>
      </x:c>
      <x:c r="D342" s="3" t="str">
        <x:v>ACTIVE / MIXED</x:v>
      </x:c>
      <x:c r="E342" s="3" t="str">
        <x:v>Movement is sufficient, but market direction is divided.</x:v>
      </x:c>
      <x:c r="F342" s="10" t="n">
        <x:v>35</x:v>
      </x:c>
      <x:c r="G342" s="9" t="n">
        <x:v>11.4</x:v>
      </x:c>
      <x:c r="H342" s="9" t="n">
        <x:v>28.6</x:v>
      </x:c>
      <x:c r="I342" s="9" t="n">
        <x:v>80</x:v>
      </x:c>
      <x:c r="J342" s="9" t="n">
        <x:v>-0.58</x:v>
      </x:c>
      <x:c r="K342" s="9" t="n">
        <x:v>5.02</x:v>
      </x:c>
      <x:c r="L342" s="3" t="str">
        <x:v>Liquid non-stable USDT pairs: volume &gt;= 10M; up/down threshold +/-1.5%; active logarithmic range threshold 3.0%; quiet active breadth threshold 35%; median direction threshold +/-1.0%.</x:v>
      </x:c>
      <x:c r="M342" s="10" t="n">
        <x:v>997</x:v>
      </x:c>
      <x:c r="N342" s="3" t="str">
        <x:v>{"recorded_at": 1789357210, "environment": "production", "regime": "ACTIVE / MIXED", "expectation": "Movement is sufficient, but market direction is divided.", "sample_size": 35, "up_pct": 11.4, "down_pct": 28.6, "active_pct": 80.0, "median_change_pct": -0.58, "median_range_pct": 5.02, "formula": "Liquid non-stable USDT pairs: volume &gt;= 10M; up/down threshold +/-1.5%; active logarithmic range threshold 3.0%; quiet active breadth threshold 35%; median direction threshold +/-1.0%."}</x:v>
      </x:c>
    </x:row>
    <x:row r="343" ht="21" customHeight="1">
      <x:c r="A343" s="8" t="n">
        <x:v>46279.28872685185</x:v>
      </x:c>
      <x:c r="B343" s="10" t="n">
        <x:v>1789358146</x:v>
      </x:c>
      <x:c r="C343" s="3" t="str">
        <x:v>production</x:v>
      </x:c>
      <x:c r="D343" s="3" t="str">
        <x:v>ACTIVE / MIXED</x:v>
      </x:c>
      <x:c r="E343" s="3" t="str">
        <x:v>Movement is sufficient, but market direction is divided.</x:v>
      </x:c>
      <x:c r="F343" s="10" t="n">
        <x:v>35</x:v>
      </x:c>
      <x:c r="G343" s="9" t="n">
        <x:v>14.3</x:v>
      </x:c>
      <x:c r="H343" s="9" t="n">
        <x:v>31.4</x:v>
      </x:c>
      <x:c r="I343" s="9" t="n">
        <x:v>80</x:v>
      </x:c>
      <x:c r="J343" s="9" t="n">
        <x:v>-0.41</x:v>
      </x:c>
      <x:c r="K343" s="9" t="n">
        <x:v>4.98</x:v>
      </x:c>
      <x:c r="L343" s="3" t="str">
        <x:v>Liquid non-stable USDT pairs: volume &gt;= 10M; up/down threshold +/-1.5%; active logarithmic range threshold 3.0%; quiet active breadth threshold 35%; median direction threshold +/-1.0%.</x:v>
      </x:c>
      <x:c r="M343" s="10" t="n">
        <x:v>998</x:v>
      </x:c>
      <x:c r="N343" s="3" t="str">
        <x:v>{"recorded_at": 1789358146, "environment": "production", "regime": "ACTIVE / MIXED", "expectation": "Movement is sufficient, but market direction is divided.", "sample_size": 35, "up_pct": 14.3, "down_pct": 31.4, "active_pct": 80.0, "median_change_pct": -0.41, "median_range_pct": 4.98, "formula": "Liquid non-stable USDT pairs: volume &gt;= 10M; up/down threshold +/-1.5%; active logarithmic range threshold 3.0%; quiet active breadth threshold 35%; median direction threshold +/-1.0%."}</x:v>
      </x:c>
    </x:row>
    <x:row r="344" ht="21" customHeight="1">
      <x:c r="A344" s="8" t="n">
        <x:v>46279.29918981482</x:v>
      </x:c>
      <x:c r="B344" s="10" t="n">
        <x:v>1789359050</x:v>
      </x:c>
      <x:c r="C344" s="3" t="str">
        <x:v>production</x:v>
      </x:c>
      <x:c r="D344" s="3" t="str">
        <x:v>ACTIVE / MIXED</x:v>
      </x:c>
      <x:c r="E344" s="3" t="str">
        <x:v>Movement is sufficient, but market direction is divided.</x:v>
      </x:c>
      <x:c r="F344" s="10" t="n">
        <x:v>35</x:v>
      </x:c>
      <x:c r="G344" s="9" t="n">
        <x:v>14.3</x:v>
      </x:c>
      <x:c r="H344" s="9" t="n">
        <x:v>28.6</x:v>
      </x:c>
      <x:c r="I344" s="9" t="n">
        <x:v>80</x:v>
      </x:c>
      <x:c r="J344" s="9" t="n">
        <x:v>-0.47</x:v>
      </x:c>
      <x:c r="K344" s="9" t="n">
        <x:v>4.98</x:v>
      </x:c>
      <x:c r="L344" s="3" t="str">
        <x:v>Liquid non-stable USDT pairs: volume &gt;= 10M; up/down threshold +/-1.5%; active logarithmic range threshold 3.0%; quiet active breadth threshold 35%; median direction threshold +/-1.0%.</x:v>
      </x:c>
      <x:c r="M344" s="10" t="n">
        <x:v>999</x:v>
      </x:c>
      <x:c r="N344" s="3" t="str">
        <x:v>{"recorded_at": 1789359050, "environment": "production", "regime": "ACTIVE / MIXED", "expectation": "Movement is sufficient, but market direction is divided.", "sample_size": 35, "up_pct": 14.3, "down_pct": 28.6, "active_pct": 80.0, "median_change_pct": -0.47, "median_range_pct": 4.98, "formula": "Liquid non-stable USDT pairs: volume &gt;= 10M; up/down threshold +/-1.5%; active logarithmic range threshold 3.0%; quiet active breadth threshold 35%; median direction threshold +/-1.0%."}</x:v>
      </x:c>
    </x:row>
    <x:row r="345" ht="21" customHeight="1">
      <x:c r="A345" s="8" t="n">
        <x:v>46279.30997685185</x:v>
      </x:c>
      <x:c r="B345" s="10" t="n">
        <x:v>1789359982</x:v>
      </x:c>
      <x:c r="C345" s="3" t="str">
        <x:v>production</x:v>
      </x:c>
      <x:c r="D345" s="3" t="str">
        <x:v>ACTIVE / MIXED</x:v>
      </x:c>
      <x:c r="E345" s="3" t="str">
        <x:v>Movement is sufficient, but market direction is divided.</x:v>
      </x:c>
      <x:c r="F345" s="10" t="n">
        <x:v>35</x:v>
      </x:c>
      <x:c r="G345" s="9" t="n">
        <x:v>14.3</x:v>
      </x:c>
      <x:c r="H345" s="9" t="n">
        <x:v>31.4</x:v>
      </x:c>
      <x:c r="I345" s="9" t="n">
        <x:v>80</x:v>
      </x:c>
      <x:c r="J345" s="9" t="n">
        <x:v>-0.45</x:v>
      </x:c>
      <x:c r="K345" s="9" t="n">
        <x:v>4.98</x:v>
      </x:c>
      <x:c r="L345" s="3" t="str">
        <x:v>Liquid non-stable USDT pairs: volume &gt;= 10M; up/down threshold +/-1.5%; active logarithmic range threshold 3.0%; quiet active breadth threshold 35%; median direction threshold +/-1.0%.</x:v>
      </x:c>
      <x:c r="M345" s="10" t="n">
        <x:v>1000</x:v>
      </x:c>
      <x:c r="N345" s="3" t="str">
        <x:v>{"recorded_at": 1789359982, "environment": "production", "regime": "ACTIVE / MIXED", "expectation": "Movement is sufficient, but market direction is divided.", "sample_size": 35, "up_pct": 14.3, "down_pct": 31.4, "active_pct": 80.0, "median_change_pct": -0.45, "median_range_pct": 4.98, "formula": "Liquid non-stable USDT pairs: volume &gt;= 10M; up/down threshold +/-1.5%; active logarithmic range threshold 3.0%; quiet active breadth threshold 35%; median direction threshold +/-1.0%."}</x:v>
      </x:c>
    </x:row>
    <x:row r="346" ht="21" customHeight="1">
      <x:c r="A346" s="8" t="n">
        <x:v>46279.320752314816</x:v>
      </x:c>
      <x:c r="B346" s="10" t="n">
        <x:v>1789360913</x:v>
      </x:c>
      <x:c r="C346" s="3" t="str">
        <x:v>production</x:v>
      </x:c>
      <x:c r="D346" s="3" t="str">
        <x:v>ACTIVE / MIXED</x:v>
      </x:c>
      <x:c r="E346" s="3" t="str">
        <x:v>Movement is sufficient, but market direction is divided.</x:v>
      </x:c>
      <x:c r="F346" s="10" t="n">
        <x:v>35</x:v>
      </x:c>
      <x:c r="G346" s="9" t="n">
        <x:v>14.3</x:v>
      </x:c>
      <x:c r="H346" s="9" t="n">
        <x:v>28.6</x:v>
      </x:c>
      <x:c r="I346" s="9" t="n">
        <x:v>80</x:v>
      </x:c>
      <x:c r="J346" s="9" t="n">
        <x:v>-0.44</x:v>
      </x:c>
      <x:c r="K346" s="9" t="n">
        <x:v>4.96</x:v>
      </x:c>
      <x:c r="L346" s="3" t="str">
        <x:v>Liquid non-stable USDT pairs: volume &gt;= 10M; up/down threshold +/-1.5%; active logarithmic range threshold 3.0%; quiet active breadth threshold 35%; median direction threshold +/-1.0%.</x:v>
      </x:c>
      <x:c r="M346" s="10" t="n">
        <x:v>1001</x:v>
      </x:c>
      <x:c r="N346" s="3" t="str">
        <x:v>{"recorded_at": 1789360913, "environment": "production", "regime": "ACTIVE / MIXED", "expectation": "Movement is sufficient, but market direction is divided.", "sample_size": 35, "up_pct": 14.3, "down_pct": 28.6, "active_pct": 80.0, "median_change_pct": -0.44, "median_range_pct": 4.96, "formula": "Liquid non-stable USDT pairs: volume &gt;= 10M; up/down threshold +/-1.5%; active logarithmic range threshold 3.0%; quiet active breadth threshold 35%; median direction threshold +/-1.0%."}</x:v>
      </x:c>
    </x:row>
    <x:row r="347" ht="21" customHeight="1">
      <x:c r="A347" s="8" t="n">
        <x:v>46279.33121527778</x:v>
      </x:c>
      <x:c r="B347" s="10" t="n">
        <x:v>1789361817</x:v>
      </x:c>
      <x:c r="C347" s="3" t="str">
        <x:v>production</x:v>
      </x:c>
      <x:c r="D347" s="3" t="str">
        <x:v>ACTIVE / MIXED</x:v>
      </x:c>
      <x:c r="E347" s="3" t="str">
        <x:v>Movement is sufficient, but market direction is divided.</x:v>
      </x:c>
      <x:c r="F347" s="10" t="n">
        <x:v>35</x:v>
      </x:c>
      <x:c r="G347" s="9" t="n">
        <x:v>17.1</x:v>
      </x:c>
      <x:c r="H347" s="9" t="n">
        <x:v>28.6</x:v>
      </x:c>
      <x:c r="I347" s="9" t="n">
        <x:v>80</x:v>
      </x:c>
      <x:c r="J347" s="9" t="n">
        <x:v>-0.42</x:v>
      </x:c>
      <x:c r="K347" s="9" t="n">
        <x:v>4.96</x:v>
      </x:c>
      <x:c r="L347" s="3" t="str">
        <x:v>Liquid non-stable USDT pairs: volume &gt;= 10M; up/down threshold +/-1.5%; active logarithmic range threshold 3.0%; quiet active breadth threshold 35%; median direction threshold +/-1.0%.</x:v>
      </x:c>
      <x:c r="M347" s="10" t="n">
        <x:v>1002</x:v>
      </x:c>
      <x:c r="N347" s="3" t="str">
        <x:v>{"recorded_at": 1789361817, "environment": "production", "regime": "ACTIVE / MIXED", "expectation": "Movement is sufficient, but market direction is divided.", "sample_size": 35, "up_pct": 17.1, "down_pct": 28.6, "active_pct": 80.0, "median_change_pct": -0.42, "median_range_pct": 4.96, "formula": "Liquid non-stable USDT pairs: volume &gt;= 10M; up/down threshold +/-1.5%; active logarithmic range threshold 3.0%; quiet active breadth threshold 35%; median direction threshold +/-1.0%."}</x:v>
      </x:c>
    </x:row>
    <x:row r="348" ht="21" customHeight="1">
      <x:c r="A348" s="8" t="n">
        <x:v>46279.34170138889</x:v>
      </x:c>
      <x:c r="B348" s="10" t="n">
        <x:v>1789362723</x:v>
      </x:c>
      <x:c r="C348" s="3" t="str">
        <x:v>production</x:v>
      </x:c>
      <x:c r="D348" s="3" t="str">
        <x:v>ACTIVE / MIXED</x:v>
      </x:c>
      <x:c r="E348" s="3" t="str">
        <x:v>Movement is sufficient, but market direction is divided.</x:v>
      </x:c>
      <x:c r="F348" s="10" t="n">
        <x:v>35</x:v>
      </x:c>
      <x:c r="G348" s="9" t="n">
        <x:v>17.1</x:v>
      </x:c>
      <x:c r="H348" s="9" t="n">
        <x:v>28.6</x:v>
      </x:c>
      <x:c r="I348" s="9" t="n">
        <x:v>80</x:v>
      </x:c>
      <x:c r="J348" s="9" t="n">
        <x:v>-0.64</x:v>
      </x:c>
      <x:c r="K348" s="9" t="n">
        <x:v>4.88</x:v>
      </x:c>
      <x:c r="L348" s="3" t="str">
        <x:v>Liquid non-stable USDT pairs: volume &gt;= 10M; up/down threshold +/-1.5%; active logarithmic range threshold 3.0%; quiet active breadth threshold 35%; median direction threshold +/-1.0%.</x:v>
      </x:c>
      <x:c r="M348" s="10" t="n">
        <x:v>1003</x:v>
      </x:c>
      <x:c r="N348" s="3" t="str">
        <x:v>{"recorded_at": 1789362723, "environment": "production", "regime": "ACTIVE / MIXED", "expectation": "Movement is sufficient, but market direction is divided.", "sample_size": 35, "up_pct": 17.1, "down_pct": 28.6, "active_pct": 80.0, "median_change_pct": -0.64, "median_range_pct": 4.88, "formula": "Liquid non-stable USDT pairs: volume &gt;= 10M; up/down threshold +/-1.5%; active logarithmic range threshold 3.0%; quiet active breadth threshold 35%; median direction threshold +/-1.0%."}</x:v>
      </x:c>
    </x:row>
    <x:row r="349" ht="21" customHeight="1">
      <x:c r="A349" s="8" t="n">
        <x:v>46279.35215277778</x:v>
      </x:c>
      <x:c r="B349" s="10" t="n">
        <x:v>1789363626</x:v>
      </x:c>
      <x:c r="C349" s="3" t="str">
        <x:v>production</x:v>
      </x:c>
      <x:c r="D349" s="3" t="str">
        <x:v>ACTIVE / MIXED</x:v>
      </x:c>
      <x:c r="E349" s="3" t="str">
        <x:v>Movement is sufficient, but market direction is divided.</x:v>
      </x:c>
      <x:c r="F349" s="10" t="n">
        <x:v>35</x:v>
      </x:c>
      <x:c r="G349" s="9" t="n">
        <x:v>20</x:v>
      </x:c>
      <x:c r="H349" s="9" t="n">
        <x:v>25.7</x:v>
      </x:c>
      <x:c r="I349" s="9" t="n">
        <x:v>80</x:v>
      </x:c>
      <x:c r="J349" s="9" t="n">
        <x:v>-0.41</x:v>
      </x:c>
      <x:c r="K349" s="9" t="n">
        <x:v>4.84</x:v>
      </x:c>
      <x:c r="L349" s="3" t="str">
        <x:v>Liquid non-stable USDT pairs: volume &gt;= 10M; up/down threshold +/-1.5%; active logarithmic range threshold 3.0%; quiet active breadth threshold 35%; median direction threshold +/-1.0%.</x:v>
      </x:c>
      <x:c r="M349" s="10" t="n">
        <x:v>1004</x:v>
      </x:c>
      <x:c r="N349" s="3" t="str">
        <x:v>{"recorded_at": 1789363626, "environment": "production", "regime": "ACTIVE / MIXED", "expectation": "Movement is sufficient, but market direction is divided.", "sample_size": 35, "up_pct": 20.0, "down_pct": 25.7, "active_pct": 80.0, "median_change_pct": -0.41, "median_range_pct": 4.84, "formula": "Liquid non-stable USDT pairs: volume &gt;= 10M; up/down threshold +/-1.5%; active logarithmic range threshold 3.0%; quiet active breadth threshold 35%; median direction threshold +/-1.0%."}</x:v>
      </x:c>
    </x:row>
    <x:row r="350" ht="21" customHeight="1">
      <x:c r="A350" s="8" t="n">
        <x:v>46279.36293981481</x:v>
      </x:c>
      <x:c r="B350" s="10" t="n">
        <x:v>1789364558</x:v>
      </x:c>
      <x:c r="C350" s="3" t="str">
        <x:v>production</x:v>
      </x:c>
      <x:c r="D350" s="3" t="str">
        <x:v>ACTIVE / MIXED</x:v>
      </x:c>
      <x:c r="E350" s="3" t="str">
        <x:v>Movement is sufficient, but market direction is divided.</x:v>
      </x:c>
      <x:c r="F350" s="10" t="n">
        <x:v>35</x:v>
      </x:c>
      <x:c r="G350" s="9" t="n">
        <x:v>17.1</x:v>
      </x:c>
      <x:c r="H350" s="9" t="n">
        <x:v>25.7</x:v>
      </x:c>
      <x:c r="I350" s="9" t="n">
        <x:v>80</x:v>
      </x:c>
      <x:c r="J350" s="9" t="n">
        <x:v>-0.46</x:v>
      </x:c>
      <x:c r="K350" s="9" t="n">
        <x:v>4.74</x:v>
      </x:c>
      <x:c r="L350" s="3" t="str">
        <x:v>Liquid non-stable USDT pairs: volume &gt;= 10M; up/down threshold +/-1.5%; active logarithmic range threshold 3.0%; quiet active breadth threshold 35%; median direction threshold +/-1.0%.</x:v>
      </x:c>
      <x:c r="M350" s="10" t="n">
        <x:v>1005</x:v>
      </x:c>
      <x:c r="N350" s="3" t="str">
        <x:v>{"recorded_at": 1789364558, "environment": "production", "regime": "ACTIVE / MIXED", "expectation": "Movement is sufficient, but market direction is divided.", "sample_size": 35, "up_pct": 17.1, "down_pct": 25.7, "active_pct": 80.0, "median_change_pct": -0.46, "median_range_pct": 4.74, "formula": "Liquid non-stable USDT pairs: volume &gt;= 10M; up/down threshold +/-1.5%; active logarithmic range threshold 3.0%; quiet active breadth threshold 35%; median direction threshold +/-1.0%."}</x:v>
      </x:c>
    </x:row>
    <x:row r="351" ht="21" customHeight="1">
      <x:c r="A351" s="8" t="n">
        <x:v>46279.373761574076</x:v>
      </x:c>
      <x:c r="B351" s="10" t="n">
        <x:v>1789365493</x:v>
      </x:c>
      <x:c r="C351" s="3" t="str">
        <x:v>production</x:v>
      </x:c>
      <x:c r="D351" s="3" t="str">
        <x:v>ACTIVE / MIXED</x:v>
      </x:c>
      <x:c r="E351" s="3" t="str">
        <x:v>Movement is sufficient, but market direction is divided.</x:v>
      </x:c>
      <x:c r="F351" s="10" t="n">
        <x:v>35</x:v>
      </x:c>
      <x:c r="G351" s="9" t="n">
        <x:v>17.1</x:v>
      </x:c>
      <x:c r="H351" s="9" t="n">
        <x:v>25.7</x:v>
      </x:c>
      <x:c r="I351" s="9" t="n">
        <x:v>80</x:v>
      </x:c>
      <x:c r="J351" s="9" t="n">
        <x:v>-0.79</x:v>
      </x:c>
      <x:c r="K351" s="9" t="n">
        <x:v>4.71</x:v>
      </x:c>
      <x:c r="L351" s="3" t="str">
        <x:v>Liquid non-stable USDT pairs: volume &gt;= 10M; up/down threshold +/-1.5%; active logarithmic range threshold 3.0%; quiet active breadth threshold 35%; median direction threshold +/-1.0%.</x:v>
      </x:c>
      <x:c r="M351" s="10" t="n">
        <x:v>1006</x:v>
      </x:c>
      <x:c r="N351" s="3" t="str">
        <x:v>{"recorded_at": 1789365493, "environment": "production", "regime": "ACTIVE / MIXED", "expectation": "Movement is sufficient, but market direction is divided.", "sample_size": 35, "up_pct": 17.1, "down_pct": 25.7, "active_pct": 80.0, "median_change_pct": -0.79, "median_range_pct": 4.71, "formula": "Liquid non-stable USDT pairs: volume &gt;= 10M; up/down threshold +/-1.5%; active logarithmic range threshold 3.0%; quiet active breadth threshold 35%; median direction threshold +/-1.0%."}</x:v>
      </x:c>
    </x:row>
    <x:row r="352" ht="21" customHeight="1">
      <x:c r="A352" s="8" t="n">
        <x:v>46279.38788194444</x:v>
      </x:c>
      <x:c r="B352" s="10" t="n">
        <x:v>1789366713</x:v>
      </x:c>
      <x:c r="C352" s="3" t="str">
        <x:v>production</x:v>
      </x:c>
      <x:c r="D352" s="3" t="str">
        <x:v>ACTIVE / MIXED</x:v>
      </x:c>
      <x:c r="E352" s="3" t="str">
        <x:v>Movement is sufficient, but market direction is divided.</x:v>
      </x:c>
      <x:c r="F352" s="10" t="n">
        <x:v>35</x:v>
      </x:c>
      <x:c r="G352" s="9" t="n">
        <x:v>17.1</x:v>
      </x:c>
      <x:c r="H352" s="9" t="n">
        <x:v>25.7</x:v>
      </x:c>
      <x:c r="I352" s="9" t="n">
        <x:v>77.1</x:v>
      </x:c>
      <x:c r="J352" s="9" t="n">
        <x:v>-0.08</x:v>
      </x:c>
      <x:c r="K352" s="9" t="n">
        <x:v>4.98</x:v>
      </x:c>
      <x:c r="L352" s="3" t="str">
        <x:v>Liquid non-stable USDT pairs: volume &gt;= 10M; up/down threshold +/-1.5%; active logarithmic range threshold 3.0%; quiet active breadth threshold 35%; median direction threshold +/-1.0%.</x:v>
      </x:c>
      <x:c r="M352" s="10" t="n">
        <x:v>1007</x:v>
      </x:c>
      <x:c r="N352" s="3" t="str">
        <x:v>{"recorded_at": 1789366713, "environment": "production", "regime": "ACTIVE / MIXED", "expectation": "Movement is sufficient, but market direction is divided.", "sample_size": 35, "up_pct": 17.1, "down_pct": 25.7, "active_pct": 77.1, "median_change_pct": -0.08, "median_range_pct": 4.98, "formula": "Liquid non-stable USDT pairs: volume &gt;= 10M; up/down threshold +/-1.5%; active logarithmic range threshold 3.0%; quiet active breadth threshold 35%; median direction threshold +/-1.0%."}</x:v>
      </x:c>
    </x:row>
    <x:row r="353" ht="21" customHeight="1">
      <x:c r="A353" s="8" t="n">
        <x:v>46279.3987037037</x:v>
      </x:c>
      <x:c r="B353" s="10" t="n">
        <x:v>1789367648</x:v>
      </x:c>
      <x:c r="C353" s="3" t="str">
        <x:v>production</x:v>
      </x:c>
      <x:c r="D353" s="3" t="str">
        <x:v>ACTIVE / MIXED</x:v>
      </x:c>
      <x:c r="E353" s="3" t="str">
        <x:v>Movement is sufficient, but market direction is divided.</x:v>
      </x:c>
      <x:c r="F353" s="10" t="n">
        <x:v>34</x:v>
      </x:c>
      <x:c r="G353" s="9" t="n">
        <x:v>17.6</x:v>
      </x:c>
      <x:c r="H353" s="9" t="n">
        <x:v>29.4</x:v>
      </x:c>
      <x:c r="I353" s="9" t="n">
        <x:v>76.5</x:v>
      </x:c>
      <x:c r="J353" s="9" t="n">
        <x:v>-0.43</x:v>
      </x:c>
      <x:c r="K353" s="9" t="n">
        <x:v>5.16</x:v>
      </x:c>
      <x:c r="L353" s="3" t="str">
        <x:v>Liquid non-stable USDT pairs: volume &gt;= 10M; up/down threshold +/-1.5%; active logarithmic range threshold 3.0%; quiet active breadth threshold 35%; median direction threshold +/-1.0%.</x:v>
      </x:c>
      <x:c r="M353" s="10" t="n">
        <x:v>1008</x:v>
      </x:c>
      <x:c r="N353" s="3" t="str">
        <x:v>{"recorded_at": 1789367648, "environment": "production", "regime": "ACTIVE / MIXED", "expectation": "Movement is sufficient, but market direction is divided.", "sample_size": 34, "up_pct": 17.6, "down_pct": 29.4, "active_pct": 76.5, "median_change_pct": -0.43, "median_range_pct": 5.16, "formula": "Liquid non-stable USDT pairs: volume &gt;= 10M; up/down threshold +/-1.5%; active logarithmic range threshold 3.0%; quiet active breadth threshold 35%; median direction threshold +/-1.0%."}</x:v>
      </x:c>
    </x:row>
    <x:row r="354" ht="21" customHeight="1">
      <x:c r="A354" s="8" t="n">
        <x:v>46279.40935185185</x:v>
      </x:c>
      <x:c r="B354" s="10" t="n">
        <x:v>1789368568</x:v>
      </x:c>
      <x:c r="C354" s="3" t="str">
        <x:v>production</x:v>
      </x:c>
      <x:c r="D354" s="3" t="str">
        <x:v>ACTIVE / MIXED</x:v>
      </x:c>
      <x:c r="E354" s="3" t="str">
        <x:v>Movement is sufficient, but market direction is divided.</x:v>
      </x:c>
      <x:c r="F354" s="10" t="n">
        <x:v>34</x:v>
      </x:c>
      <x:c r="G354" s="9" t="n">
        <x:v>14.7</x:v>
      </x:c>
      <x:c r="H354" s="9" t="n">
        <x:v>26.5</x:v>
      </x:c>
      <x:c r="I354" s="9" t="n">
        <x:v>76.5</x:v>
      </x:c>
      <x:c r="J354" s="9" t="n">
        <x:v>-0.01</x:v>
      </x:c>
      <x:c r="K354" s="9" t="n">
        <x:v>5.16</x:v>
      </x:c>
      <x:c r="L354" s="3" t="str">
        <x:v>Liquid non-stable USDT pairs: volume &gt;= 10M; up/down threshold +/-1.5%; active logarithmic range threshold 3.0%; quiet active breadth threshold 35%; median direction threshold +/-1.0%.</x:v>
      </x:c>
      <x:c r="M354" s="10" t="n">
        <x:v>1009</x:v>
      </x:c>
      <x:c r="N354" s="3" t="str">
        <x:v>{"recorded_at": 1789368568, "environment": "production", "regime": "ACTIVE / MIXED", "expectation": "Movement is sufficient, but market direction is divided.", "sample_size": 34, "up_pct": 14.7, "down_pct": 26.5, "active_pct": 76.5, "median_change_pct": -0.01, "median_range_pct": 5.16, "formula": "Liquid non-stable USDT pairs: volume &gt;= 10M; up/down threshold +/-1.5%; active logarithmic range threshold 3.0%; quiet active breadth threshold 35%; median direction threshold +/-1.0%."}</x:v>
      </x:c>
    </x:row>
    <x:row r="355" ht="21" customHeight="1">
      <x:c r="A355" s="8" t="n">
        <x:v>46279.41998842593</x:v>
      </x:c>
      <x:c r="B355" s="10" t="n">
        <x:v>1789369487</x:v>
      </x:c>
      <x:c r="C355" s="3" t="str">
        <x:v>production</x:v>
      </x:c>
      <x:c r="D355" s="3" t="str">
        <x:v>ACTIVE / MIXED</x:v>
      </x:c>
      <x:c r="E355" s="3" t="str">
        <x:v>Movement is sufficient, but market direction is divided.</x:v>
      </x:c>
      <x:c r="F355" s="10" t="n">
        <x:v>34</x:v>
      </x:c>
      <x:c r="G355" s="9" t="n">
        <x:v>17.6</x:v>
      </x:c>
      <x:c r="H355" s="9" t="n">
        <x:v>23.5</x:v>
      </x:c>
      <x:c r="I355" s="9" t="n">
        <x:v>76.5</x:v>
      </x:c>
      <x:c r="J355" s="9" t="n">
        <x:v>0</x:v>
      </x:c>
      <x:c r="K355" s="9" t="n">
        <x:v>5.16</x:v>
      </x:c>
      <x:c r="L355" s="3" t="str">
        <x:v>Liquid non-stable USDT pairs: volume &gt;= 10M; up/down threshold +/-1.5%; active logarithmic range threshold 3.0%; quiet active breadth threshold 35%; median direction threshold +/-1.0%.</x:v>
      </x:c>
      <x:c r="M355" s="10" t="n">
        <x:v>1010</x:v>
      </x:c>
      <x:c r="N355" s="3" t="str">
        <x:v>{"recorded_at": 1789369487, "environment": "production", "regime": "ACTIVE / MIXED", "expectation": "Movement is sufficient, but market direction is divided.", "sample_size": 34, "up_pct": 17.6, "down_pct": 23.5, "active_pct": 76.5, "median_change_pct": -0.0, "median_range_pct": 5.16, "formula": "Liquid non-stable USDT pairs: volume &gt;= 10M; up/down threshold +/-1.5%; active logarithmic range threshold 3.0%; quiet active breadth threshold 35%; median direction threshold +/-1.0%."}</x:v>
      </x:c>
    </x:row>
    <x:row r="356" ht="21" customHeight="1">
      <x:c r="A356" s="8" t="n">
        <x:v>46279.43053240741</x:v>
      </x:c>
      <x:c r="B356" s="10" t="n">
        <x:v>1789370398</x:v>
      </x:c>
      <x:c r="C356" s="3" t="str">
        <x:v>production</x:v>
      </x:c>
      <x:c r="D356" s="3" t="str">
        <x:v>ACTIVE / MIXED</x:v>
      </x:c>
      <x:c r="E356" s="3" t="str">
        <x:v>Movement is sufficient, but market direction is divided.</x:v>
      </x:c>
      <x:c r="F356" s="10" t="n">
        <x:v>34</x:v>
      </x:c>
      <x:c r="G356" s="9" t="n">
        <x:v>17.6</x:v>
      </x:c>
      <x:c r="H356" s="9" t="n">
        <x:v>26.5</x:v>
      </x:c>
      <x:c r="I356" s="9" t="n">
        <x:v>76.5</x:v>
      </x:c>
      <x:c r="J356" s="9" t="n">
        <x:v>-0.03</x:v>
      </x:c>
      <x:c r="K356" s="9" t="n">
        <x:v>5.16</x:v>
      </x:c>
      <x:c r="L356" s="3" t="str">
        <x:v>Liquid non-stable USDT pairs: volume &gt;= 10M; up/down threshold +/-1.5%; active logarithmic range threshold 3.0%; quiet active breadth threshold 35%; median direction threshold +/-1.0%.</x:v>
      </x:c>
      <x:c r="M356" s="10" t="n">
        <x:v>1011</x:v>
      </x:c>
      <x:c r="N356" s="3" t="str">
        <x:v>{"recorded_at": 1789370398, "environment": "production", "regime": "ACTIVE / MIXED", "expectation": "Movement is sufficient, but market direction is divided.", "sample_size": 34, "up_pct": 17.6, "down_pct": 26.5, "active_pct": 76.5, "median_change_pct": -0.03, "median_range_pct": 5.16, "formula": "Liquid non-stable USDT pairs: volume &gt;= 10M; up/down threshold +/-1.5%; active logarithmic range threshold 3.0%; quiet active breadth threshold 35%; median direction threshold +/-1.0%."}</x:v>
      </x:c>
    </x:row>
    <x:row r="357" ht="21" customHeight="1">
      <x:c r="A357" s="8" t="n">
        <x:v>46279.441087962965</x:v>
      </x:c>
      <x:c r="B357" s="10" t="n">
        <x:v>1789371310</x:v>
      </x:c>
      <x:c r="C357" s="3" t="str">
        <x:v>production</x:v>
      </x:c>
      <x:c r="D357" s="3" t="str">
        <x:v>ACTIVE / MIXED</x:v>
      </x:c>
      <x:c r="E357" s="3" t="str">
        <x:v>Movement is sufficient, but market direction is divided.</x:v>
      </x:c>
      <x:c r="F357" s="10" t="n">
        <x:v>34</x:v>
      </x:c>
      <x:c r="G357" s="9" t="n">
        <x:v>17.6</x:v>
      </x:c>
      <x:c r="H357" s="9" t="n">
        <x:v>23.5</x:v>
      </x:c>
      <x:c r="I357" s="9" t="n">
        <x:v>76.5</x:v>
      </x:c>
      <x:c r="J357" s="9" t="n">
        <x:v>0.06</x:v>
      </x:c>
      <x:c r="K357" s="9" t="n">
        <x:v>5.16</x:v>
      </x:c>
      <x:c r="L357" s="3" t="str">
        <x:v>Liquid non-stable USDT pairs: volume &gt;= 10M; up/down threshold +/-1.5%; active logarithmic range threshold 3.0%; quiet active breadth threshold 35%; median direction threshold +/-1.0%.</x:v>
      </x:c>
      <x:c r="M357" s="10" t="n">
        <x:v>1012</x:v>
      </x:c>
      <x:c r="N357" s="3" t="str">
        <x:v>{"recorded_at": 1789371310, "environment": "production", "regime": "ACTIVE / MIXED", "expectation": "Movement is sufficient, but market direction is divided.", "sample_size": 34, "up_pct": 17.6, "down_pct": 23.5, "active_pct": 76.5, "median_change_pct": 0.06, "median_range_pct": 5.16, "formula": "Liquid non-stable USDT pairs: volume &gt;= 10M; up/down threshold +/-1.5%; active logarithmic range threshold 3.0%; quiet active breadth threshold 35%; median direction threshold +/-1.0%."}</x:v>
      </x:c>
    </x:row>
    <x:row r="358" ht="21" customHeight="1">
      <x:c r="A358" s="8" t="n">
        <x:v>46279.4516087963</x:v>
      </x:c>
      <x:c r="B358" s="10" t="n">
        <x:v>1789372219</x:v>
      </x:c>
      <x:c r="C358" s="3" t="str">
        <x:v>production</x:v>
      </x:c>
      <x:c r="D358" s="3" t="str">
        <x:v>ACTIVE / MIXED</x:v>
      </x:c>
      <x:c r="E358" s="3" t="str">
        <x:v>Movement is sufficient, but market direction is divided.</x:v>
      </x:c>
      <x:c r="F358" s="10" t="n">
        <x:v>34</x:v>
      </x:c>
      <x:c r="G358" s="9" t="n">
        <x:v>23.5</x:v>
      </x:c>
      <x:c r="H358" s="9" t="n">
        <x:v>23.5</x:v>
      </x:c>
      <x:c r="I358" s="9" t="n">
        <x:v>76.5</x:v>
      </x:c>
      <x:c r="J358" s="9" t="n">
        <x:v>0.07</x:v>
      </x:c>
      <x:c r="K358" s="9" t="n">
        <x:v>5.16</x:v>
      </x:c>
      <x:c r="L358" s="3" t="str">
        <x:v>Liquid non-stable USDT pairs: volume &gt;= 10M; up/down threshold +/-1.5%; active logarithmic range threshold 3.0%; quiet active breadth threshold 35%; median direction threshold +/-1.0%.</x:v>
      </x:c>
      <x:c r="M358" s="10" t="n">
        <x:v>1013</x:v>
      </x:c>
      <x:c r="N358" s="3" t="str">
        <x:v>{"recorded_at": 1789372219, "environment": "production", "regime": "ACTIVE / MIXED", "expectation": "Movement is sufficient, but market direction is divided.", "sample_size": 34, "up_pct": 23.5, "down_pct": 23.5, "active_pct": 76.5, "median_change_pct": 0.07, "median_range_pct": 5.16, "formula": "Liquid non-stable USDT pairs: volume &gt;= 10M; up/down threshold +/-1.5%; active logarithmic range threshold 3.0%; quiet active breadth threshold 35%; median direction threshold +/-1.0%."}</x:v>
      </x:c>
    </x:row>
    <x:row r="359" ht="21" customHeight="1">
      <x:c r="A359" s="8" t="n">
        <x:v>46279.462175925924</x:v>
      </x:c>
      <x:c r="B359" s="10" t="n">
        <x:v>1789373132</x:v>
      </x:c>
      <x:c r="C359" s="3" t="str">
        <x:v>production</x:v>
      </x:c>
      <x:c r="D359" s="3" t="str">
        <x:v>ACTIVE / MIXED</x:v>
      </x:c>
      <x:c r="E359" s="3" t="str">
        <x:v>Movement is sufficient, but market direction is divided.</x:v>
      </x:c>
      <x:c r="F359" s="10" t="n">
        <x:v>34</x:v>
      </x:c>
      <x:c r="G359" s="9" t="n">
        <x:v>23.5</x:v>
      </x:c>
      <x:c r="H359" s="9" t="n">
        <x:v>23.5</x:v>
      </x:c>
      <x:c r="I359" s="9" t="n">
        <x:v>76.5</x:v>
      </x:c>
      <x:c r="J359" s="9" t="n">
        <x:v>0.03</x:v>
      </x:c>
      <x:c r="K359" s="9" t="n">
        <x:v>5.2</x:v>
      </x:c>
      <x:c r="L359" s="3" t="str">
        <x:v>Liquid non-stable USDT pairs: volume &gt;= 10M; up/down threshold +/-1.5%; active logarithmic range threshold 3.0%; quiet active breadth threshold 35%; median direction threshold +/-1.0%.</x:v>
      </x:c>
      <x:c r="M359" s="10" t="n">
        <x:v>1014</x:v>
      </x:c>
      <x:c r="N359" s="3" t="str">
        <x:v>{"recorded_at": 1789373132, "environment": "production", "regime": "ACTIVE / MIXED", "expectation": "Movement is sufficient, but market direction is divided.", "sample_size": 34, "up_pct": 23.5, "down_pct": 23.5, "active_pct": 76.5, "median_change_pct": 0.03, "median_range_pct": 5.2, "formula": "Liquid non-stable USDT pairs: volume &gt;= 10M; up/down threshold +/-1.5%; active logarithmic range threshold 3.0%; quiet active breadth threshold 35%; median direction threshold +/-1.0%."}</x:v>
      </x:c>
    </x:row>
    <x:row r="360" ht="21" customHeight="1">
      <x:c r="A360" s="8" t="n">
        <x:v>46279.47269675926</x:v>
      </x:c>
      <x:c r="B360" s="10" t="n">
        <x:v>1789374041</x:v>
      </x:c>
      <x:c r="C360" s="3" t="str">
        <x:v>production</x:v>
      </x:c>
      <x:c r="D360" s="3" t="str">
        <x:v>ACTIVE / MIXED</x:v>
      </x:c>
      <x:c r="E360" s="3" t="str">
        <x:v>Movement is sufficient, but market direction is divided.</x:v>
      </x:c>
      <x:c r="F360" s="10" t="n">
        <x:v>35</x:v>
      </x:c>
      <x:c r="G360" s="9" t="n">
        <x:v>31.4</x:v>
      </x:c>
      <x:c r="H360" s="9" t="n">
        <x:v>25.7</x:v>
      </x:c>
      <x:c r="I360" s="9" t="n">
        <x:v>77.1</x:v>
      </x:c>
      <x:c r="J360" s="9" t="n">
        <x:v>0.43</x:v>
      </x:c>
      <x:c r="K360" s="9" t="n">
        <x:v>5.09</x:v>
      </x:c>
      <x:c r="L360" s="3" t="str">
        <x:v>Liquid non-stable USDT pairs: volume &gt;= 10M; up/down threshold +/-1.5%; active logarithmic range threshold 3.0%; quiet active breadth threshold 35%; median direction threshold +/-1.0%.</x:v>
      </x:c>
      <x:c r="M360" s="10" t="n">
        <x:v>1015</x:v>
      </x:c>
      <x:c r="N360" s="3" t="str">
        <x:v>{"recorded_at": 1789374041, "environment": "production", "regime": "ACTIVE / MIXED", "expectation": "Movement is sufficient, but market direction is divided.", "sample_size": 35, "up_pct": 31.4, "down_pct": 25.7, "active_pct": 77.1, "median_change_pct": 0.43, "median_range_pct": 5.09, "formula": "Liquid non-stable USDT pairs: volume &gt;= 10M; up/down threshold +/-1.5%; active logarithmic range threshold 3.0%; quiet active breadth threshold 35%; median direction threshold +/-1.0%."}</x:v>
      </x:c>
    </x:row>
    <x:row r="361" ht="21" customHeight="1">
      <x:c r="A361" s="8" t="n">
        <x:v>46279.483136574076</x:v>
      </x:c>
      <x:c r="B361" s="10" t="n">
        <x:v>1789374943</x:v>
      </x:c>
      <x:c r="C361" s="3" t="str">
        <x:v>production</x:v>
      </x:c>
      <x:c r="D361" s="3" t="str">
        <x:v>ACTIVE / MIXED</x:v>
      </x:c>
      <x:c r="E361" s="3" t="str">
        <x:v>Movement is sufficient, but market direction is divided.</x:v>
      </x:c>
      <x:c r="F361" s="10" t="n">
        <x:v>34</x:v>
      </x:c>
      <x:c r="G361" s="9" t="n">
        <x:v>38.2</x:v>
      </x:c>
      <x:c r="H361" s="9" t="n">
        <x:v>20.6</x:v>
      </x:c>
      <x:c r="I361" s="9" t="n">
        <x:v>76.5</x:v>
      </x:c>
      <x:c r="J361" s="9" t="n">
        <x:v>0.86</x:v>
      </x:c>
      <x:c r="K361" s="9" t="n">
        <x:v>5.3</x:v>
      </x:c>
      <x:c r="L361" s="3" t="str">
        <x:v>Liquid non-stable USDT pairs: volume &gt;= 10M; up/down threshold +/-1.5%; active logarithmic range threshold 3.0%; quiet active breadth threshold 35%; median direction threshold +/-1.0%.</x:v>
      </x:c>
      <x:c r="M361" s="10" t="n">
        <x:v>1016</x:v>
      </x:c>
      <x:c r="N361" s="3" t="str">
        <x:v>{"recorded_at": 1789374943, "environment": "production", "regime": "ACTIVE / MIXED", "expectation": "Movement is sufficient, but market direction is divided.", "sample_size": 34, "up_pct": 38.2, "down_pct": 20.6, "active_pct": 76.5, "median_change_pct": 0.86, "median_range_pct": 5.3, "formula": "Liquid non-stable USDT pairs: volume &gt;= 10M; up/down threshold +/-1.5%; active logarithmic range threshold 3.0%; quiet active breadth threshold 35%; median direction threshold +/-1.0%."}</x:v>
      </x:c>
    </x:row>
    <x:row r="362" ht="21" customHeight="1">
      <x:c r="A362" s="8" t="n">
        <x:v>46279.49356481482</x:v>
      </x:c>
      <x:c r="B362" s="10" t="n">
        <x:v>1789375844</x:v>
      </x:c>
      <x:c r="C362" s="3" t="str">
        <x:v>production</x:v>
      </x:c>
      <x:c r="D362" s="3" t="str">
        <x:v>ACTIVE / MIXED</x:v>
      </x:c>
      <x:c r="E362" s="3" t="str">
        <x:v>Movement is sufficient, but market direction is divided.</x:v>
      </x:c>
      <x:c r="F362" s="10" t="n">
        <x:v>34</x:v>
      </x:c>
      <x:c r="G362" s="9" t="n">
        <x:v>35.3</x:v>
      </x:c>
      <x:c r="H362" s="9" t="n">
        <x:v>17.6</x:v>
      </x:c>
      <x:c r="I362" s="9" t="n">
        <x:v>76.5</x:v>
      </x:c>
      <x:c r="J362" s="9" t="n">
        <x:v>0.89</x:v>
      </x:c>
      <x:c r="K362" s="9" t="n">
        <x:v>5.3</x:v>
      </x:c>
      <x:c r="L362" s="3" t="str">
        <x:v>Liquid non-stable USDT pairs: volume &gt;= 10M; up/down threshold +/-1.5%; active logarithmic range threshold 3.0%; quiet active breadth threshold 35%; median direction threshold +/-1.0%.</x:v>
      </x:c>
      <x:c r="M362" s="10" t="n">
        <x:v>1017</x:v>
      </x:c>
      <x:c r="N362" s="3" t="str">
        <x:v>{"recorded_at": 1789375844, "environment": "production", "regime": "ACTIVE / MIXED", "expectation": "Movement is sufficient, but market direction is divided.", "sample_size": 34, "up_pct": 35.3, "down_pct": 17.6, "active_pct": 76.5, "median_change_pct": 0.89, "median_range_pct": 5.3, "formula": "Liquid non-stable USDT pairs: volume &gt;= 10M; up/down threshold +/-1.5%; active logarithmic range threshold 3.0%; quiet active breadth threshold 35%; median direction threshold +/-1.0%."}</x:v>
      </x:c>
    </x:row>
    <x:row r="363" ht="21" customHeight="1">
      <x:c r="A363" s="8" t="n">
        <x:v>46279.50403935185</x:v>
      </x:c>
      <x:c r="B363" s="10" t="n">
        <x:v>1789376749</x:v>
      </x:c>
      <x:c r="C363" s="3" t="str">
        <x:v>production</x:v>
      </x:c>
      <x:c r="D363" s="3" t="str">
        <x:v>ACTIVE / MIXED</x:v>
      </x:c>
      <x:c r="E363" s="3" t="str">
        <x:v>Movement is sufficient, but market direction is divided.</x:v>
      </x:c>
      <x:c r="F363" s="10" t="n">
        <x:v>34</x:v>
      </x:c>
      <x:c r="G363" s="9" t="n">
        <x:v>32.4</x:v>
      </x:c>
      <x:c r="H363" s="9" t="n">
        <x:v>17.6</x:v>
      </x:c>
      <x:c r="I363" s="9" t="n">
        <x:v>76.5</x:v>
      </x:c>
      <x:c r="J363" s="9" t="n">
        <x:v>0.87</x:v>
      </x:c>
      <x:c r="K363" s="9" t="n">
        <x:v>5.3</x:v>
      </x:c>
      <x:c r="L363" s="3" t="str">
        <x:v>Liquid non-stable USDT pairs: volume &gt;= 10M; up/down threshold +/-1.5%; active logarithmic range threshold 3.0%; quiet active breadth threshold 35%; median direction threshold +/-1.0%.</x:v>
      </x:c>
      <x:c r="M363" s="10" t="n">
        <x:v>1018</x:v>
      </x:c>
      <x:c r="N363" s="3" t="str">
        <x:v>{"recorded_at": 1789376749, "environment": "production", "regime": "ACTIVE / MIXED", "expectation": "Movement is sufficient, but market direction is divided.", "sample_size": 34, "up_pct": 32.4, "down_pct": 17.6, "active_pct": 76.5, "median_change_pct": 0.87, "median_range_pct": 5.3, "formula": "Liquid non-stable USDT pairs: volume &gt;= 10M; up/down threshold +/-1.5%; active logarithmic range threshold 3.0%; quiet active breadth threshold 35%; median direction threshold +/-1.0%."}</x:v>
      </x:c>
    </x:row>
    <x:row r="364" ht="21" customHeight="1">
      <x:c r="A364" s="8" t="n">
        <x:v>46279.51446759259</x:v>
      </x:c>
      <x:c r="B364" s="10" t="n">
        <x:v>1789377650</x:v>
      </x:c>
      <x:c r="C364" s="3" t="str">
        <x:v>production</x:v>
      </x:c>
      <x:c r="D364" s="3" t="str">
        <x:v>ACTIVE / MIXED</x:v>
      </x:c>
      <x:c r="E364" s="3" t="str">
        <x:v>Movement is sufficient, but market direction is divided.</x:v>
      </x:c>
      <x:c r="F364" s="10" t="n">
        <x:v>33</x:v>
      </x:c>
      <x:c r="G364" s="9" t="n">
        <x:v>33.3</x:v>
      </x:c>
      <x:c r="H364" s="9" t="n">
        <x:v>15.2</x:v>
      </x:c>
      <x:c r="I364" s="9" t="n">
        <x:v>75.8</x:v>
      </x:c>
      <x:c r="J364" s="9" t="n">
        <x:v>0.69</x:v>
      </x:c>
      <x:c r="K364" s="9" t="n">
        <x:v>5.12</x:v>
      </x:c>
      <x:c r="L364" s="3" t="str">
        <x:v>Liquid non-stable USDT pairs: volume &gt;= 10M; up/down threshold +/-1.5%; active logarithmic range threshold 3.0%; quiet active breadth threshold 35%; median direction threshold +/-1.0%.</x:v>
      </x:c>
      <x:c r="M364" s="10" t="n">
        <x:v>1019</x:v>
      </x:c>
      <x:c r="N364" s="3" t="str">
        <x:v>{"recorded_at": 1789377650, "environment": "production", "regime": "ACTIVE / MIXED", "expectation": "Movement is sufficient, but market direction is divided.", "sample_size": 33, "up_pct": 33.3, "down_pct": 15.2, "active_pct": 75.8, "median_change_pct": 0.69, "median_range_pct": 5.12, "formula": "Liquid non-stable USDT pairs: volume &gt;= 10M; up/down threshold +/-1.5%; active logarithmic range threshold 3.0%; quiet active breadth threshold 35%; median direction threshold +/-1.0%."}</x:v>
      </x:c>
    </x:row>
    <x:row r="365" ht="21" customHeight="1">
      <x:c r="A365" s="8" t="n">
        <x:v>46279.52525462963</x:v>
      </x:c>
      <x:c r="B365" s="10" t="n">
        <x:v>1789378582</x:v>
      </x:c>
      <x:c r="C365" s="3" t="str">
        <x:v>production</x:v>
      </x:c>
      <x:c r="D365" s="3" t="str">
        <x:v>ACTIVE / MIXED</x:v>
      </x:c>
      <x:c r="E365" s="3" t="str">
        <x:v>Movement is sufficient, but market direction is divided.</x:v>
      </x:c>
      <x:c r="F365" s="10" t="n">
        <x:v>33</x:v>
      </x:c>
      <x:c r="G365" s="9" t="n">
        <x:v>33.3</x:v>
      </x:c>
      <x:c r="H365" s="9" t="n">
        <x:v>18.2</x:v>
      </x:c>
      <x:c r="I365" s="9" t="n">
        <x:v>75.8</x:v>
      </x:c>
      <x:c r="J365" s="9" t="n">
        <x:v>0.72</x:v>
      </x:c>
      <x:c r="K365" s="9" t="n">
        <x:v>5.12</x:v>
      </x:c>
      <x:c r="L365" s="3" t="str">
        <x:v>Liquid non-stable USDT pairs: volume &gt;= 10M; up/down threshold +/-1.5%; active logarithmic range threshold 3.0%; quiet active breadth threshold 35%; median direction threshold +/-1.0%.</x:v>
      </x:c>
      <x:c r="M365" s="10" t="n">
        <x:v>1020</x:v>
      </x:c>
      <x:c r="N365" s="3" t="str">
        <x:v>{"recorded_at": 1789378582, "environment": "production", "regime": "ACTIVE / MIXED", "expectation": "Movement is sufficient, but market direction is divided.", "sample_size": 33, "up_pct": 33.3, "down_pct": 18.2, "active_pct": 75.8, "median_change_pct": 0.72, "median_range_pct": 5.12, "formula": "Liquid non-stable USDT pairs: volume &gt;= 10M; up/down threshold +/-1.5%; active logarithmic range threshold 3.0%; quiet active breadth threshold 35%; median direction threshold +/-1.0%."}</x:v>
      </x:c>
    </x:row>
    <x:row r="366" ht="21" customHeight="1">
      <x:c r="A366" s="8" t="n">
        <x:v>46279.53569444444</x:v>
      </x:c>
      <x:c r="B366" s="10" t="n">
        <x:v>1789379484</x:v>
      </x:c>
      <x:c r="C366" s="3" t="str">
        <x:v>production</x:v>
      </x:c>
      <x:c r="D366" s="3" t="str">
        <x:v>ACTIVE / POSITIVE</x:v>
      </x:c>
      <x:c r="E366" s="3" t="str">
        <x:v>Broad momentum is positive; still require entry confirmation.</x:v>
      </x:c>
      <x:c r="F366" s="10" t="n">
        <x:v>34</x:v>
      </x:c>
      <x:c r="G366" s="9" t="n">
        <x:v>41.2</x:v>
      </x:c>
      <x:c r="H366" s="9" t="n">
        <x:v>17.6</x:v>
      </x:c>
      <x:c r="I366" s="9" t="n">
        <x:v>76.5</x:v>
      </x:c>
      <x:c r="J366" s="9" t="n">
        <x:v>1.27</x:v>
      </x:c>
      <x:c r="K366" s="9" t="n">
        <x:v>5.3</x:v>
      </x:c>
      <x:c r="L366" s="3" t="str">
        <x:v>Liquid non-stable USDT pairs: volume &gt;= 10M; up/down threshold +/-1.5%; active logarithmic range threshold 3.0%; quiet active breadth threshold 35%; median direction threshold +/-1.0%.</x:v>
      </x:c>
      <x:c r="M366" s="10" t="n">
        <x:v>1021</x:v>
      </x:c>
      <x:c r="N366" s="3" t="str">
        <x:v>{"recorded_at": 1789379484, "environment": "production", "regime": "ACTIVE / POSITIVE", "expectation": "Broad momentum is positive; still require entry confirmation.", "sample_size": 34, "up_pct": 41.2, "down_pct": 17.6, "active_pct": 76.5, "median_change_pct": 1.27, "median_range_pct": 5.3, "formula": "Liquid non-stable USDT pairs: volume &gt;= 10M; up/down threshold +/-1.5%; active logarithmic range threshold 3.0%; quiet active breadth threshold 35%; median direction threshold +/-1.0%."}</x:v>
      </x:c>
    </x:row>
    <x:row r="367" ht="21" customHeight="1">
      <x:c r="A367" s="8" t="n">
        <x:v>46279.54646990741</x:v>
      </x:c>
      <x:c r="B367" s="10" t="n">
        <x:v>1789380415</x:v>
      </x:c>
      <x:c r="C367" s="3" t="str">
        <x:v>production</x:v>
      </x:c>
      <x:c r="D367" s="3" t="str">
        <x:v>ACTIVE / POSITIVE</x:v>
      </x:c>
      <x:c r="E367" s="3" t="str">
        <x:v>Broad momentum is positive; still require entry confirmation.</x:v>
      </x:c>
      <x:c r="F367" s="10" t="n">
        <x:v>35</x:v>
      </x:c>
      <x:c r="G367" s="9" t="n">
        <x:v>40</x:v>
      </x:c>
      <x:c r="H367" s="9" t="n">
        <x:v>20</x:v>
      </x:c>
      <x:c r="I367" s="9" t="n">
        <x:v>80</x:v>
      </x:c>
      <x:c r="J367" s="9" t="n">
        <x:v>1.15</x:v>
      </x:c>
      <x:c r="K367" s="9" t="n">
        <x:v>5.62</x:v>
      </x:c>
      <x:c r="L367" s="3" t="str">
        <x:v>Liquid non-stable USDT pairs: volume &gt;= 10M; up/down threshold +/-1.5%; active logarithmic range threshold 3.0%; quiet active breadth threshold 35%; median direction threshold +/-1.0%.</x:v>
      </x:c>
      <x:c r="M367" s="10" t="n">
        <x:v>1022</x:v>
      </x:c>
      <x:c r="N367" s="3" t="str">
        <x:v>{"recorded_at": 1789380415, "environment": "production", "regime": "ACTIVE / POSITIVE", "expectation": "Broad momentum is positive; still require entry confirmation.", "sample_size": 35, "up_pct": 40.0, "down_pct": 20.0, "active_pct": 80.0, "median_change_pct": 1.15, "median_range_pct": 5.62, "formula": "Liquid non-stable USDT pairs: volume &gt;= 10M; up/down threshold +/-1.5%; active logarithmic range threshold 3.0%; quiet active breadth threshold 35%; median direction threshold +/-1.0%."}</x:v>
      </x:c>
    </x:row>
    <x:row r="368" ht="21" customHeight="1">
      <x:c r="A368" s="8" t="n">
        <x:v>46279.557280092595</x:v>
      </x:c>
      <x:c r="B368" s="10" t="n">
        <x:v>1789381349</x:v>
      </x:c>
      <x:c r="C368" s="3" t="str">
        <x:v>production</x:v>
      </x:c>
      <x:c r="D368" s="3" t="str">
        <x:v>ACTIVE / POSITIVE</x:v>
      </x:c>
      <x:c r="E368" s="3" t="str">
        <x:v>Broad momentum is positive; still require entry confirmation.</x:v>
      </x:c>
      <x:c r="F368" s="10" t="n">
        <x:v>36</x:v>
      </x:c>
      <x:c r="G368" s="9" t="n">
        <x:v>36.1</x:v>
      </x:c>
      <x:c r="H368" s="9" t="n">
        <x:v>25</x:v>
      </x:c>
      <x:c r="I368" s="9" t="n">
        <x:v>80.6</x:v>
      </x:c>
      <x:c r="J368" s="9" t="n">
        <x:v>1.01</x:v>
      </x:c>
      <x:c r="K368" s="9" t="n">
        <x:v>5.81</x:v>
      </x:c>
      <x:c r="L368" s="3" t="str">
        <x:v>Liquid non-stable USDT pairs: volume &gt;= 10M; up/down threshold +/-1.5%; active logarithmic range threshold 3.0%; quiet active breadth threshold 35%; median direction threshold +/-1.0%.</x:v>
      </x:c>
      <x:c r="M368" s="10" t="n">
        <x:v>1023</x:v>
      </x:c>
      <x:c r="N368" s="3" t="str">
        <x:v>{"recorded_at": 1789381349, "environment": "production", "regime": "ACTIVE / POSITIVE", "expectation": "Broad momentum is positive; still require entry confirmation.", "sample_size": 36, "up_pct": 36.1, "down_pct": 25.0, "active_pct": 80.6, "median_change_pct": 1.01, "median_range_pct": 5.81, "formula": "Liquid non-stable USDT pairs: volume &gt;= 10M; up/down threshold +/-1.5%; active logarithmic range threshold 3.0%; quiet active breadth threshold 35%; median direction threshold +/-1.0%."}</x:v>
      </x:c>
    </x:row>
    <x:row r="369" ht="21" customHeight="1">
      <x:c r="A369" s="8" t="n">
        <x:v>46279.56790509259</x:v>
      </x:c>
      <x:c r="B369" s="10" t="n">
        <x:v>1789382267</x:v>
      </x:c>
      <x:c r="C369" s="3" t="str">
        <x:v>production</x:v>
      </x:c>
      <x:c r="D369" s="3" t="str">
        <x:v>ACTIVE / POSITIVE</x:v>
      </x:c>
      <x:c r="E369" s="3" t="str">
        <x:v>Broad momentum is positive; still require entry confirmation.</x:v>
      </x:c>
      <x:c r="F369" s="10" t="n">
        <x:v>36</x:v>
      </x:c>
      <x:c r="G369" s="9" t="n">
        <x:v>38.9</x:v>
      </x:c>
      <x:c r="H369" s="9" t="n">
        <x:v>22.2</x:v>
      </x:c>
      <x:c r="I369" s="9" t="n">
        <x:v>80.6</x:v>
      </x:c>
      <x:c r="J369" s="9" t="n">
        <x:v>1.07</x:v>
      </x:c>
      <x:c r="K369" s="9" t="n">
        <x:v>5.81</x:v>
      </x:c>
      <x:c r="L369" s="3" t="str">
        <x:v>Liquid non-stable USDT pairs: volume &gt;= 10M; up/down threshold +/-1.5%; active logarithmic range threshold 3.0%; quiet active breadth threshold 35%; median direction threshold +/-1.0%.</x:v>
      </x:c>
      <x:c r="M369" s="10" t="n">
        <x:v>1024</x:v>
      </x:c>
      <x:c r="N369" s="3" t="str">
        <x:v>{"recorded_at": 1789382267, "environment": "production", "regime": "ACTIVE / POSITIVE", "expectation": "Broad momentum is positive; still require entry confirmation.", "sample_size": 36, "up_pct": 38.9, "down_pct": 22.2, "active_pct": 80.6, "median_change_pct": 1.07, "median_range_pct": 5.81, "formula": "Liquid non-stable USDT pairs: volume &gt;= 10M; up/down threshold +/-1.5%; active logarithmic range threshold 3.0%; quiet active breadth threshold 35%; median direction threshold +/-1.0%."}</x:v>
      </x:c>
    </x:row>
    <x:row r="370" ht="21" customHeight="1">
      <x:c r="A370" s="8" t="n">
        <x:v>46279.57854166667</x:v>
      </x:c>
      <x:c r="B370" s="10" t="n">
        <x:v>1789383186</x:v>
      </x:c>
      <x:c r="C370" s="3" t="str">
        <x:v>production</x:v>
      </x:c>
      <x:c r="D370" s="3" t="str">
        <x:v>ACTIVE / POSITIVE</x:v>
      </x:c>
      <x:c r="E370" s="3" t="str">
        <x:v>Broad momentum is positive; still require entry confirmation.</x:v>
      </x:c>
      <x:c r="F370" s="10" t="n">
        <x:v>36</x:v>
      </x:c>
      <x:c r="G370" s="9" t="n">
        <x:v>44.4</x:v>
      </x:c>
      <x:c r="H370" s="9" t="n">
        <x:v>22.2</x:v>
      </x:c>
      <x:c r="I370" s="9" t="n">
        <x:v>80.6</x:v>
      </x:c>
      <x:c r="J370" s="9" t="n">
        <x:v>1.29</x:v>
      </x:c>
      <x:c r="K370" s="9" t="n">
        <x:v>5.81</x:v>
      </x:c>
      <x:c r="L370" s="3" t="str">
        <x:v>Liquid non-stable USDT pairs: volume &gt;= 10M; up/down threshold +/-1.5%; active logarithmic range threshold 3.0%; quiet active breadth threshold 35%; median direction threshold +/-1.0%.</x:v>
      </x:c>
      <x:c r="M370" s="10" t="n">
        <x:v>1025</x:v>
      </x:c>
      <x:c r="N370" s="3" t="str">
        <x:v>{"recorded_at": 1789383186, "environment": "production", "regime": "ACTIVE / POSITIVE", "expectation": "Broad momentum is positive; still require entry confirmation.", "sample_size": 36, "up_pct": 44.4, "down_pct": 22.2, "active_pct": 80.6, "median_change_pct": 1.29, "median_range_pct": 5.81, "formula": "Liquid non-stable USDT pairs: volume &gt;= 10M; up/down threshold +/-1.5%; active logarithmic range threshold 3.0%; quiet active breadth threshold 35%; median direction threshold +/-1.0%."}</x:v>
      </x:c>
    </x:row>
    <x:row r="371" ht="21" customHeight="1">
      <x:c r="A371" s="8" t="n">
        <x:v>46279.589166666665</x:v>
      </x:c>
      <x:c r="B371" s="10" t="n">
        <x:v>1789384104</x:v>
      </x:c>
      <x:c r="C371" s="3" t="str">
        <x:v>production</x:v>
      </x:c>
      <x:c r="D371" s="3" t="str">
        <x:v>ACTIVE / MIXED</x:v>
      </x:c>
      <x:c r="E371" s="3" t="str">
        <x:v>Movement is sufficient, but market direction is divided.</x:v>
      </x:c>
      <x:c r="F371" s="10" t="n">
        <x:v>36</x:v>
      </x:c>
      <x:c r="G371" s="9" t="n">
        <x:v>25</x:v>
      </x:c>
      <x:c r="H371" s="9" t="n">
        <x:v>30.6</x:v>
      </x:c>
      <x:c r="I371" s="9" t="n">
        <x:v>80.6</x:v>
      </x:c>
      <x:c r="J371" s="9" t="n">
        <x:v>0.57</x:v>
      </x:c>
      <x:c r="K371" s="9" t="n">
        <x:v>5.81</x:v>
      </x:c>
      <x:c r="L371" s="3" t="str">
        <x:v>Liquid non-stable USDT pairs: volume &gt;= 10M; up/down threshold +/-1.5%; active logarithmic range threshold 3.0%; quiet active breadth threshold 35%; median direction threshold +/-1.0%.</x:v>
      </x:c>
      <x:c r="M371" s="10" t="n">
        <x:v>1026</x:v>
      </x:c>
      <x:c r="N371" s="3" t="str">
        <x:v>{"recorded_at": 1789384104, "environment": "production", "regime": "ACTIVE / MIXED", "expectation": "Movement is sufficient, but market direction is divided.", "sample_size": 36, "up_pct": 25.0, "down_pct": 30.6, "active_pct": 80.6, "median_change_pct": 0.57, "median_range_pct": 5.81, "formula": "Liquid non-stable USDT pairs: volume &gt;= 10M; up/down threshold +/-1.5%; active logarithmic range threshold 3.0%; quiet active breadth threshold 35%; median direction threshold +/-1.0%."}</x:v>
      </x:c>
    </x:row>
    <x:row r="372" ht="21" customHeight="1">
      <x:c r="A372" s="8" t="n">
        <x:v>46279.59997685185</x:v>
      </x:c>
      <x:c r="B372" s="10" t="n">
        <x:v>1789385038</x:v>
      </x:c>
      <x:c r="C372" s="3" t="str">
        <x:v>production</x:v>
      </x:c>
      <x:c r="D372" s="3" t="str">
        <x:v>ACTIVE / MIXED</x:v>
      </x:c>
      <x:c r="E372" s="3" t="str">
        <x:v>Movement is sufficient, but market direction is divided.</x:v>
      </x:c>
      <x:c r="F372" s="10" t="n">
        <x:v>36</x:v>
      </x:c>
      <x:c r="G372" s="9" t="n">
        <x:v>36.1</x:v>
      </x:c>
      <x:c r="H372" s="9" t="n">
        <x:v>27.8</x:v>
      </x:c>
      <x:c r="I372" s="9" t="n">
        <x:v>80.6</x:v>
      </x:c>
      <x:c r="J372" s="9" t="n">
        <x:v>0.86</x:v>
      </x:c>
      <x:c r="K372" s="9" t="n">
        <x:v>5.81</x:v>
      </x:c>
      <x:c r="L372" s="3" t="str">
        <x:v>Liquid non-stable USDT pairs: volume &gt;= 10M; up/down threshold +/-1.5%; active logarithmic range threshold 3.0%; quiet active breadth threshold 35%; median direction threshold +/-1.0%.</x:v>
      </x:c>
      <x:c r="M372" s="10" t="n">
        <x:v>1027</x:v>
      </x:c>
      <x:c r="N372" s="3" t="str">
        <x:v>{"recorded_at": 1789385038, "environment": "production", "regime": "ACTIVE / MIXED", "expectation": "Movement is sufficient, but market direction is divided.", "sample_size": 36, "up_pct": 36.1, "down_pct": 27.8, "active_pct": 80.6, "median_change_pct": 0.86, "median_range_pct": 5.81, "formula": "Liquid non-stable USDT pairs: volume &gt;= 10M; up/down threshold +/-1.5%; active logarithmic range threshold 3.0%; quiet active breadth threshold 35%; median direction threshold +/-1.0%."}</x:v>
      </x:c>
    </x:row>
    <x:row r="373" ht="21" customHeight="1">
      <x:c r="A373" s="8" t="n">
        <x:v>46279.61082175926</x:v>
      </x:c>
      <x:c r="B373" s="10" t="n">
        <x:v>1789385975</x:v>
      </x:c>
      <x:c r="C373" s="3" t="str">
        <x:v>production</x:v>
      </x:c>
      <x:c r="D373" s="3" t="str">
        <x:v>ACTIVE / MIXED</x:v>
      </x:c>
      <x:c r="E373" s="3" t="str">
        <x:v>Movement is sufficient, but market direction is divided.</x:v>
      </x:c>
      <x:c r="F373" s="10" t="n">
        <x:v>36</x:v>
      </x:c>
      <x:c r="G373" s="9" t="n">
        <x:v>27.8</x:v>
      </x:c>
      <x:c r="H373" s="9" t="n">
        <x:v>27.8</x:v>
      </x:c>
      <x:c r="I373" s="9" t="n">
        <x:v>80.6</x:v>
      </x:c>
      <x:c r="J373" s="9" t="n">
        <x:v>0.76</x:v>
      </x:c>
      <x:c r="K373" s="9" t="n">
        <x:v>5.81</x:v>
      </x:c>
      <x:c r="L373" s="3" t="str">
        <x:v>Liquid non-stable USDT pairs: volume &gt;= 10M; up/down threshold +/-1.5%; active logarithmic range threshold 3.0%; quiet active breadth threshold 35%; median direction threshold +/-1.0%.</x:v>
      </x:c>
      <x:c r="M373" s="10" t="n">
        <x:v>1028</x:v>
      </x:c>
      <x:c r="N373" s="3" t="str">
        <x:v>{"recorded_at": 1789385975, "environment": "production", "regime": "ACTIVE / MIXED", "expectation": "Movement is sufficient, but market direction is divided.", "sample_size": 36, "up_pct": 27.8, "down_pct": 27.8, "active_pct": 80.6, "median_change_pct": 0.76, "median_range_pct": 5.81, "formula": "Liquid non-stable USDT pairs: volume &gt;= 10M; up/down threshold +/-1.5%; active logarithmic range threshold 3.0%; quiet active breadth threshold 35%; median direction threshold +/-1.0%."}</x:v>
      </x:c>
    </x:row>
    <x:row r="374" ht="21" customHeight="1">
      <x:c r="A374" s="8" t="n">
        <x:v>46279.621458333335</x:v>
      </x:c>
      <x:c r="B374" s="10" t="n">
        <x:v>1789386894</x:v>
      </x:c>
      <x:c r="C374" s="3" t="str">
        <x:v>production</x:v>
      </x:c>
      <x:c r="D374" s="3" t="str">
        <x:v>ACTIVE / MIXED</x:v>
      </x:c>
      <x:c r="E374" s="3" t="str">
        <x:v>Movement is sufficient, but market direction is divided.</x:v>
      </x:c>
      <x:c r="F374" s="10" t="n">
        <x:v>36</x:v>
      </x:c>
      <x:c r="G374" s="9" t="n">
        <x:v>27.8</x:v>
      </x:c>
      <x:c r="H374" s="9" t="n">
        <x:v>30.6</x:v>
      </x:c>
      <x:c r="I374" s="9" t="n">
        <x:v>80.6</x:v>
      </x:c>
      <x:c r="J374" s="9" t="n">
        <x:v>0.52</x:v>
      </x:c>
      <x:c r="K374" s="9" t="n">
        <x:v>5.81</x:v>
      </x:c>
      <x:c r="L374" s="3" t="str">
        <x:v>Liquid non-stable USDT pairs: volume &gt;= 10M; up/down threshold +/-1.5%; active logarithmic range threshold 3.0%; quiet active breadth threshold 35%; median direction threshold +/-1.0%.</x:v>
      </x:c>
      <x:c r="M374" s="10" t="n">
        <x:v>1029</x:v>
      </x:c>
      <x:c r="N374" s="3" t="str">
        <x:v>{"recorded_at": 1789386894, "environment": "production", "regime": "ACTIVE / MIXED", "expectation": "Movement is sufficient, but market direction is divided.", "sample_size": 36, "up_pct": 27.8, "down_pct": 30.6, "active_pct": 80.6, "median_change_pct": 0.52, "median_range_pct": 5.81, "formula": "Liquid non-stable USDT pairs: volume &gt;= 10M; up/down threshold +/-1.5%; active logarithmic range threshold 3.0%; quiet active breadth threshold 35%; median direction threshold +/-1.0%."}</x:v>
      </x:c>
    </x:row>
    <x:row r="375" ht="21" customHeight="1">
      <x:c r="A375" s="8" t="n">
        <x:v>46279.63228009259</x:v>
      </x:c>
      <x:c r="B375" s="10" t="n">
        <x:v>1789387829</x:v>
      </x:c>
      <x:c r="C375" s="3" t="str">
        <x:v>production</x:v>
      </x:c>
      <x:c r="D375" s="3" t="str">
        <x:v>ACTIVE / MIXED</x:v>
      </x:c>
      <x:c r="E375" s="3" t="str">
        <x:v>Movement is sufficient, but market direction is divided.</x:v>
      </x:c>
      <x:c r="F375" s="10" t="n">
        <x:v>37</x:v>
      </x:c>
      <x:c r="G375" s="9" t="n">
        <x:v>29.7</x:v>
      </x:c>
      <x:c r="H375" s="9" t="n">
        <x:v>24.3</x:v>
      </x:c>
      <x:c r="I375" s="9" t="n">
        <x:v>81.1</x:v>
      </x:c>
      <x:c r="J375" s="9" t="n">
        <x:v>0.85</x:v>
      </x:c>
      <x:c r="K375" s="9" t="n">
        <x:v>5.62</x:v>
      </x:c>
      <x:c r="L375" s="3" t="str">
        <x:v>Liquid non-stable USDT pairs: volume &gt;= 10M; up/down threshold +/-1.5%; active logarithmic range threshold 3.0%; quiet active breadth threshold 35%; median direction threshold +/-1.0%.</x:v>
      </x:c>
      <x:c r="M375" s="10" t="n">
        <x:v>1030</x:v>
      </x:c>
      <x:c r="N375" s="3" t="str">
        <x:v>{"recorded_at": 1789387829, "environment": "production", "regime": "ACTIVE / MIXED", "expectation": "Movement is sufficient, but market direction is divided.", "sample_size": 37, "up_pct": 29.7, "down_pct": 24.3, "active_pct": 81.1, "median_change_pct": 0.85, "median_range_pct": 5.62, "formula": "Liquid non-stable USDT pairs: volume &gt;= 10M; up/down threshold +/-1.5%; active logarithmic range threshold 3.0%; quiet active breadth threshold 35%; median direction threshold +/-1.0%."}</x:v>
      </x:c>
    </x:row>
    <x:row r="376" ht="21" customHeight="1">
      <x:c r="A376" s="8" t="n">
        <x:v>46279.64275462963</x:v>
      </x:c>
      <x:c r="B376" s="10" t="n">
        <x:v>1789388734</x:v>
      </x:c>
      <x:c r="C376" s="3" t="str">
        <x:v>production</x:v>
      </x:c>
      <x:c r="D376" s="3" t="str">
        <x:v>ACTIVE / MIXED</x:v>
      </x:c>
      <x:c r="E376" s="3" t="str">
        <x:v>Movement is sufficient, but market direction is divided.</x:v>
      </x:c>
      <x:c r="F376" s="10" t="n">
        <x:v>37</x:v>
      </x:c>
      <x:c r="G376" s="9" t="n">
        <x:v>29.7</x:v>
      </x:c>
      <x:c r="H376" s="9" t="n">
        <x:v>27</x:v>
      </x:c>
      <x:c r="I376" s="9" t="n">
        <x:v>81.1</x:v>
      </x:c>
      <x:c r="J376" s="9" t="n">
        <x:v>0.66</x:v>
      </x:c>
      <x:c r="K376" s="9" t="n">
        <x:v>5.99</x:v>
      </x:c>
      <x:c r="L376" s="3" t="str">
        <x:v>Liquid non-stable USDT pairs: volume &gt;= 10M; up/down threshold +/-1.5%; active logarithmic range threshold 3.0%; quiet active breadth threshold 35%; median direction threshold +/-1.0%.</x:v>
      </x:c>
      <x:c r="M376" s="10" t="n">
        <x:v>1031</x:v>
      </x:c>
      <x:c r="N376" s="3" t="str">
        <x:v>{"recorded_at": 1789388734, "environment": "production", "regime": "ACTIVE / MIXED", "expectation": "Movement is sufficient, but market direction is divided.", "sample_size": 37, "up_pct": 29.7, "down_pct": 27.0, "active_pct": 81.1, "median_change_pct": 0.66, "median_range_pct": 5.99, "formula": "Liquid non-stable USDT pairs: volume &gt;= 10M; up/down threshold +/-1.5%; active logarithmic range threshold 3.0%; quiet active breadth threshold 35%; median direction threshold +/-1.0%."}</x:v>
      </x:c>
    </x:row>
    <x:row r="377" ht="21" customHeight="1">
      <x:c r="A377" s="8" t="n">
        <x:v>46279.653182870374</x:v>
      </x:c>
      <x:c r="B377" s="10" t="n">
        <x:v>1789389635</x:v>
      </x:c>
      <x:c r="C377" s="3" t="str">
        <x:v>production</x:v>
      </x:c>
      <x:c r="D377" s="3" t="str">
        <x:v>ACTIVE / MIXED</x:v>
      </x:c>
      <x:c r="E377" s="3" t="str">
        <x:v>Movement is sufficient, but market direction is divided.</x:v>
      </x:c>
      <x:c r="F377" s="10" t="n">
        <x:v>38</x:v>
      </x:c>
      <x:c r="G377" s="9" t="n">
        <x:v>28.9</x:v>
      </x:c>
      <x:c r="H377" s="9" t="n">
        <x:v>28.9</x:v>
      </x:c>
      <x:c r="I377" s="9" t="n">
        <x:v>78.9</x:v>
      </x:c>
      <x:c r="J377" s="9" t="n">
        <x:v>0.27</x:v>
      </x:c>
      <x:c r="K377" s="9" t="n">
        <x:v>5.81</x:v>
      </x:c>
      <x:c r="L377" s="3" t="str">
        <x:v>Liquid non-stable USDT pairs: volume &gt;= 10M; up/down threshold +/-1.5%; active logarithmic range threshold 3.0%; quiet active breadth threshold 35%; median direction threshold +/-1.0%.</x:v>
      </x:c>
      <x:c r="M377" s="10" t="n">
        <x:v>1032</x:v>
      </x:c>
      <x:c r="N377" s="3" t="str">
        <x:v>{"recorded_at": 1789389635, "environment": "production", "regime": "ACTIVE / MIXED", "expectation": "Movement is sufficient, but market direction is divided.", "sample_size": 38, "up_pct": 28.9, "down_pct": 28.9, "active_pct": 78.9, "median_change_pct": 0.27, "median_range_pct": 5.81, "formula": "Liquid non-stable USDT pairs: volume &gt;= 10M; up/down threshold +/-1.5%; active logarithmic range threshold 3.0%; quiet active breadth threshold 35%; median direction threshold +/-1.0%."}</x:v>
      </x:c>
    </x:row>
    <x:row r="378" ht="21" customHeight="1">
      <x:c r="A378" s="8" t="n">
        <x:v>46279.663622685184</x:v>
      </x:c>
      <x:c r="B378" s="10" t="n">
        <x:v>1789390537</x:v>
      </x:c>
      <x:c r="C378" s="3" t="str">
        <x:v>production</x:v>
      </x:c>
      <x:c r="D378" s="3" t="str">
        <x:v>ACTIVE / MIXED</x:v>
      </x:c>
      <x:c r="E378" s="3" t="str">
        <x:v>Movement is sufficient, but market direction is divided.</x:v>
      </x:c>
      <x:c r="F378" s="10" t="n">
        <x:v>38</x:v>
      </x:c>
      <x:c r="G378" s="9" t="n">
        <x:v>28.9</x:v>
      </x:c>
      <x:c r="H378" s="9" t="n">
        <x:v>36.8</x:v>
      </x:c>
      <x:c r="I378" s="9" t="n">
        <x:v>78.9</x:v>
      </x:c>
      <x:c r="J378" s="9" t="n">
        <x:v>0.08</x:v>
      </x:c>
      <x:c r="K378" s="9" t="n">
        <x:v>5.96</x:v>
      </x:c>
      <x:c r="L378" s="3" t="str">
        <x:v>Liquid non-stable USDT pairs: volume &gt;= 10M; up/down threshold +/-1.5%; active logarithmic range threshold 3.0%; quiet active breadth threshold 35%; median direction threshold +/-1.0%.</x:v>
      </x:c>
      <x:c r="M378" s="10" t="n">
        <x:v>1033</x:v>
      </x:c>
      <x:c r="N378" s="3" t="str">
        <x:v>{"recorded_at": 1789390537, "environment": "production", "regime": "ACTIVE / MIXED", "expectation": "Movement is sufficient, but market direction is divided.", "sample_size": 38, "up_pct": 28.9, "down_pct": 36.8, "active_pct": 78.9, "median_change_pct": 0.08, "median_range_pct": 5.96, "formula": "Liquid non-stable USDT pairs: volume &gt;= 10M; up/down threshold +/-1.5%; active logarithmic range threshold 3.0%; quiet active breadth threshold 35%; median direction threshold +/-1.0%."}</x:v>
      </x:c>
    </x:row>
    <x:row r="379" ht="21" customHeight="1">
      <x:c r="A379" s="8" t="n">
        <x:v>46279.674409722225</x:v>
      </x:c>
      <x:c r="B379" s="10" t="n">
        <x:v>1789391469</x:v>
      </x:c>
      <x:c r="C379" s="3" t="str">
        <x:v>production</x:v>
      </x:c>
      <x:c r="D379" s="3" t="str">
        <x:v>ACTIVE / MIXED</x:v>
      </x:c>
      <x:c r="E379" s="3" t="str">
        <x:v>Movement is sufficient, but market direction is divided.</x:v>
      </x:c>
      <x:c r="F379" s="10" t="n">
        <x:v>40</x:v>
      </x:c>
      <x:c r="G379" s="9" t="n">
        <x:v>22.5</x:v>
      </x:c>
      <x:c r="H379" s="9" t="n">
        <x:v>37.5</x:v>
      </x:c>
      <x:c r="I379" s="9" t="n">
        <x:v>80</x:v>
      </x:c>
      <x:c r="J379" s="9" t="n">
        <x:v>-0.06</x:v>
      </x:c>
      <x:c r="K379" s="9" t="n">
        <x:v>5.78</x:v>
      </x:c>
      <x:c r="L379" s="3" t="str">
        <x:v>Liquid non-stable USDT pairs: volume &gt;= 10M; up/down threshold +/-1.5%; active logarithmic range threshold 3.0%; quiet active breadth threshold 35%; median direction threshold +/-1.0%.</x:v>
      </x:c>
      <x:c r="M379" s="10" t="n">
        <x:v>1034</x:v>
      </x:c>
      <x:c r="N379" s="3" t="str">
        <x:v>{"recorded_at": 1789391469, "environment": "production", "regime": "ACTIVE / MIXED", "expectation": "Movement is sufficient, but market direction is divided.", "sample_size": 40, "up_pct": 22.5, "down_pct": 37.5, "active_pct": 80.0, "median_change_pct": -0.06, "median_range_pct": 5.78, "formula": "Liquid non-stable USDT pairs: volume &gt;= 10M; up/down threshold +/-1.5%; active logarithmic range threshold 3.0%; quiet active breadth threshold 35%; median direction threshold +/-1.0%."}</x:v>
      </x:c>
    </x:row>
    <x:row r="380" ht="21" customHeight="1">
      <x:c r="A380" s="8" t="n">
        <x:v>46279.685115740744</x:v>
      </x:c>
      <x:c r="B380" s="10" t="n">
        <x:v>1789392394</x:v>
      </x:c>
      <x:c r="C380" s="3" t="str">
        <x:v>production</x:v>
      </x:c>
      <x:c r="D380" s="3" t="str">
        <x:v>ACTIVE / MIXED</x:v>
      </x:c>
      <x:c r="E380" s="3" t="str">
        <x:v>Movement is sufficient, but market direction is divided.</x:v>
      </x:c>
      <x:c r="F380" s="10" t="n">
        <x:v>40</x:v>
      </x:c>
      <x:c r="G380" s="9" t="n">
        <x:v>35</x:v>
      </x:c>
      <x:c r="H380" s="9" t="n">
        <x:v>32.5</x:v>
      </x:c>
      <x:c r="I380" s="9" t="n">
        <x:v>80</x:v>
      </x:c>
      <x:c r="J380" s="9" t="n">
        <x:v>0.44</x:v>
      </x:c>
      <x:c r="K380" s="9" t="n">
        <x:v>5.78</x:v>
      </x:c>
      <x:c r="L380" s="3" t="str">
        <x:v>Liquid non-stable USDT pairs: volume &gt;= 10M; up/down threshold +/-1.5%; active logarithmic range threshold 3.0%; quiet active breadth threshold 35%; median direction threshold +/-1.0%.</x:v>
      </x:c>
      <x:c r="M380" s="10" t="n">
        <x:v>1035</x:v>
      </x:c>
      <x:c r="N380" s="3" t="str">
        <x:v>{"recorded_at": 1789392394, "environment": "production", "regime": "ACTIVE / MIXED", "expectation": "Movement is sufficient, but market direction is divided.", "sample_size": 40, "up_pct": 35.0, "down_pct": 32.5, "active_pct": 80.0, "median_change_pct": 0.44, "median_range_pct": 5.78, "formula": "Liquid non-stable USDT pairs: volume &gt;= 10M; up/down threshold +/-1.5%; active logarithmic range threshold 3.0%; quiet active breadth threshold 35%; median direction threshold +/-1.0%."}</x:v>
      </x:c>
    </x:row>
    <x:row r="381" ht="21" customHeight="1">
      <x:c r="A381" s="8" t="n">
        <x:v>46279.69590277778</x:v>
      </x:c>
      <x:c r="B381" s="10" t="n">
        <x:v>1789393326</x:v>
      </x:c>
      <x:c r="C381" s="3" t="str">
        <x:v>production</x:v>
      </x:c>
      <x:c r="D381" s="3" t="str">
        <x:v>ACTIVE / MIXED</x:v>
      </x:c>
      <x:c r="E381" s="3" t="str">
        <x:v>Movement is sufficient, but market direction is divided.</x:v>
      </x:c>
      <x:c r="F381" s="10" t="n">
        <x:v>40</x:v>
      </x:c>
      <x:c r="G381" s="9" t="n">
        <x:v>32.5</x:v>
      </x:c>
      <x:c r="H381" s="9" t="n">
        <x:v>35</x:v>
      </x:c>
      <x:c r="I381" s="9" t="n">
        <x:v>80</x:v>
      </x:c>
      <x:c r="J381" s="9" t="n">
        <x:v>0.49</x:v>
      </x:c>
      <x:c r="K381" s="9" t="n">
        <x:v>5.96</x:v>
      </x:c>
      <x:c r="L381" s="3" t="str">
        <x:v>Liquid non-stable USDT pairs: volume &gt;= 10M; up/down threshold +/-1.5%; active logarithmic range threshold 3.0%; quiet active breadth threshold 35%; median direction threshold +/-1.0%.</x:v>
      </x:c>
      <x:c r="M381" s="10" t="n">
        <x:v>1036</x:v>
      </x:c>
      <x:c r="N381" s="3" t="str">
        <x:v>{"recorded_at": 1789393326, "environment": "production", "regime": "ACTIVE / MIXED", "expectation": "Movement is sufficient, but market direction is divided.", "sample_size": 40, "up_pct": 32.5, "down_pct": 35.0, "active_pct": 80.0, "median_change_pct": 0.49, "median_range_pct": 5.96, "formula": "Liquid non-stable USDT pairs: volume &gt;= 10M; up/down threshold +/-1.5%; active logarithmic range threshold 3.0%; quiet active breadth threshold 35%; median direction threshold +/-1.0%."}</x:v>
      </x:c>
    </x:row>
    <x:row r="382" ht="21" customHeight="1">
      <x:c r="A382" s="8" t="n">
        <x:v>46279.70662037037</x:v>
      </x:c>
      <x:c r="B382" s="10" t="n">
        <x:v>1789394252</x:v>
      </x:c>
      <x:c r="C382" s="3" t="str">
        <x:v>production</x:v>
      </x:c>
      <x:c r="D382" s="3" t="str">
        <x:v>ACTIVE / MIXED</x:v>
      </x:c>
      <x:c r="E382" s="3" t="str">
        <x:v>Movement is sufficient, but market direction is divided.</x:v>
      </x:c>
      <x:c r="F382" s="10" t="n">
        <x:v>40</x:v>
      </x:c>
      <x:c r="G382" s="9" t="n">
        <x:v>25</x:v>
      </x:c>
      <x:c r="H382" s="9" t="n">
        <x:v>37.5</x:v>
      </x:c>
      <x:c r="I382" s="9" t="n">
        <x:v>80</x:v>
      </x:c>
      <x:c r="J382" s="9" t="n">
        <x:v>0.13</x:v>
      </x:c>
      <x:c r="K382" s="9" t="n">
        <x:v>5.75</x:v>
      </x:c>
      <x:c r="L382" s="3" t="str">
        <x:v>Liquid non-stable USDT pairs: volume &gt;= 10M; up/down threshold +/-1.5%; active logarithmic range threshold 3.0%; quiet active breadth threshold 35%; median direction threshold +/-1.0%.</x:v>
      </x:c>
      <x:c r="M382" s="10" t="n">
        <x:v>1037</x:v>
      </x:c>
      <x:c r="N382" s="3" t="str">
        <x:v>{"recorded_at": 1789394252, "environment": "production", "regime": "ACTIVE / MIXED", "expectation": "Movement is sufficient, but market direction is divided.", "sample_size": 40, "up_pct": 25.0, "down_pct": 37.5, "active_pct": 80.0, "median_change_pct": 0.13, "median_range_pct": 5.75, "formula": "Liquid non-stable USDT pairs: volume &gt;= 10M; up/down threshold +/-1.5%; active logarithmic range threshold 3.0%; quiet active breadth threshold 35%; median direction threshold +/-1.0%."}</x:v>
      </x:c>
    </x:row>
    <x:row r="383" ht="21" customHeight="1">
      <x:c r="A383" s="8" t="n">
        <x:v>46279.71741898148</x:v>
      </x:c>
      <x:c r="B383" s="10" t="n">
        <x:v>1789395185</x:v>
      </x:c>
      <x:c r="C383" s="3" t="str">
        <x:v>production</x:v>
      </x:c>
      <x:c r="D383" s="3" t="str">
        <x:v>ACTIVE / MIXED</x:v>
      </x:c>
      <x:c r="E383" s="3" t="str">
        <x:v>Movement is sufficient, but market direction is divided.</x:v>
      </x:c>
      <x:c r="F383" s="10" t="n">
        <x:v>40</x:v>
      </x:c>
      <x:c r="G383" s="9" t="n">
        <x:v>22.5</x:v>
      </x:c>
      <x:c r="H383" s="9" t="n">
        <x:v>32.5</x:v>
      </x:c>
      <x:c r="I383" s="9" t="n">
        <x:v>80</x:v>
      </x:c>
      <x:c r="J383" s="9" t="n">
        <x:v>0.2</x:v>
      </x:c>
      <x:c r="K383" s="9" t="n">
        <x:v>5.75</x:v>
      </x:c>
      <x:c r="L383" s="3" t="str">
        <x:v>Liquid non-stable USDT pairs: volume &gt;= 10M; up/down threshold +/-1.5%; active logarithmic range threshold 3.0%; quiet active breadth threshold 35%; median direction threshold +/-1.0%.</x:v>
      </x:c>
      <x:c r="M383" s="10" t="n">
        <x:v>1038</x:v>
      </x:c>
      <x:c r="N383" s="3" t="str">
        <x:v>{"recorded_at": 1789395185, "environment": "production", "regime": "ACTIVE / MIXED", "expectation": "Movement is sufficient, but market direction is divided.", "sample_size": 40, "up_pct": 22.5, "down_pct": 32.5, "active_pct": 80.0, "median_change_pct": 0.2, "median_range_pct": 5.75, "formula": "Liquid non-stable USDT pairs: volume &gt;= 10M; up/down threshold +/-1.5%; active logarithmic range threshold 3.0%; quiet active breadth threshold 35%; median direction threshold +/-1.0%."}</x:v>
      </x:c>
    </x:row>
    <x:row r="384" ht="21" customHeight="1">
      <x:c r="A384" s="8" t="n">
        <x:v>46279.72280092593</x:v>
      </x:c>
      <x:c r="B384" s="10" t="n">
        <x:v>1789395650</x:v>
      </x:c>
      <x:c r="C384" s="3" t="str">
        <x:v>production</x:v>
      </x:c>
      <x:c r="D384" s="3" t="str">
        <x:v>ACTIVE / MIXED</x:v>
      </x:c>
      <x:c r="E384" s="3" t="str">
        <x:v>Movement is sufficient, but market direction is divided.</x:v>
      </x:c>
      <x:c r="F384" s="10" t="n">
        <x:v>41</x:v>
      </x:c>
      <x:c r="G384" s="9" t="n">
        <x:v>22</x:v>
      </x:c>
      <x:c r="H384" s="9" t="n">
        <x:v>34.1</x:v>
      </x:c>
      <x:c r="I384" s="9" t="n">
        <x:v>80.5</x:v>
      </x:c>
      <x:c r="J384" s="9" t="n">
        <x:v>0.24</x:v>
      </x:c>
      <x:c r="K384" s="9" t="n">
        <x:v>5.99</x:v>
      </x:c>
      <x:c r="L384" s="3" t="str">
        <x:v>Liquid non-stable USDT pairs: volume &gt;= 10M; up/down threshold +/-1.5%; active logarithmic range threshold 3.0%; quiet active breadth threshold 35%; median direction threshold +/-1.0%.</x:v>
      </x:c>
      <x:c r="M384" s="10" t="n">
        <x:v>1039</x:v>
      </x:c>
      <x:c r="N384" s="3" t="str">
        <x:v>{"recorded_at": 1789395650, "environment": "production", "regime": "ACTIVE / MIXED", "expectation": "Movement is sufficient, but market direction is divided.", "sample_size": 41, "up_pct": 22.0, "down_pct": 34.1, "active_pct": 80.5, "median_change_pct": 0.24, "median_range_pct": 5.99, "formula": "Liquid non-stable USDT pairs: volume &gt;= 10M; up/down threshold +/-1.5%; active logarithmic range threshold 3.0%; quiet active breadth threshold 35%; median direction threshold +/-1.0%."}</x:v>
      </x:c>
    </x:row>
    <x:row r="385" ht="21" customHeight="1">
      <x:c r="A385" s="8" t="n">
        <x:v>46279.72482638889</x:v>
      </x:c>
      <x:c r="B385" s="10" t="n">
        <x:v>1789395825</x:v>
      </x:c>
      <x:c r="C385" s="3" t="str">
        <x:v>production</x:v>
      </x:c>
      <x:c r="D385" s="3" t="str">
        <x:v>ACTIVE / MIXED</x:v>
      </x:c>
      <x:c r="E385" s="3" t="str">
        <x:v>Movement is sufficient, but market direction is divided.</x:v>
      </x:c>
      <x:c r="F385" s="10" t="n">
        <x:v>41</x:v>
      </x:c>
      <x:c r="G385" s="9" t="n">
        <x:v>24.4</x:v>
      </x:c>
      <x:c r="H385" s="9" t="n">
        <x:v>39</x:v>
      </x:c>
      <x:c r="I385" s="9" t="n">
        <x:v>80.5</x:v>
      </x:c>
      <x:c r="J385" s="9" t="n">
        <x:v>0</x:v>
      </x:c>
      <x:c r="K385" s="9" t="n">
        <x:v>5.99</x:v>
      </x:c>
      <x:c r="L385" s="3" t="str">
        <x:v>Liquid non-stable USDT pairs: volume &gt;= 10M; up/down threshold +/-1.5%; active logarithmic range threshold 3.0%; quiet active breadth threshold 35%; median direction threshold +/-1.0%.</x:v>
      </x:c>
      <x:c r="M385" s="10" t="n">
        <x:v>1040</x:v>
      </x:c>
      <x:c r="N385" s="3" t="str">
        <x:v>{"recorded_at": 1789395825, "environment": "production", "regime": "ACTIVE / MIXED", "expectation": "Movement is sufficient, but market direction is divided.", "sample_size": 41, "up_pct": 24.4, "down_pct": 39.0, "active_pct": 80.5, "median_change_pct": 0.0, "median_range_pct": 5.99, "formula": "Liquid non-stable USDT pairs: volume &gt;= 10M; up/down threshold +/-1.5%; active logarithmic range threshold 3.0%; quiet active breadth threshold 35%; median direction threshold +/-1.0%."}</x:v>
      </x:c>
    </x:row>
    <x:row r="386" ht="21" customHeight="1">
      <x:c r="A386" s="8" t="n">
        <x:v>46279.735300925924</x:v>
      </x:c>
      <x:c r="B386" s="10" t="n">
        <x:v>1789396730</x:v>
      </x:c>
      <x:c r="C386" s="3" t="str">
        <x:v>production</x:v>
      </x:c>
      <x:c r="D386" s="3" t="str">
        <x:v>ACTIVE / MIXED</x:v>
      </x:c>
      <x:c r="E386" s="3" t="str">
        <x:v>Movement is sufficient, but market direction is divided.</x:v>
      </x:c>
      <x:c r="F386" s="10" t="n">
        <x:v>41</x:v>
      </x:c>
      <x:c r="G386" s="9" t="n">
        <x:v>24.4</x:v>
      </x:c>
      <x:c r="H386" s="9" t="n">
        <x:v>39</x:v>
      </x:c>
      <x:c r="I386" s="9" t="n">
        <x:v>80.5</x:v>
      </x:c>
      <x:c r="J386" s="9" t="n">
        <x:v>0</x:v>
      </x:c>
      <x:c r="K386" s="9" t="n">
        <x:v>5.99</x:v>
      </x:c>
      <x:c r="L386" s="3" t="str">
        <x:v>Liquid non-stable USDT pairs: volume &gt;= 10M; up/down threshold +/-1.5%; active logarithmic range threshold 3.0%; quiet active breadth threshold 35%; median direction threshold +/-1.0%.</x:v>
      </x:c>
      <x:c r="M386" s="10" t="n">
        <x:v>1041</x:v>
      </x:c>
      <x:c r="N386" s="3" t="str">
        <x:v>{"recorded_at": 1789396730, "environment": "production", "regime": "ACTIVE / MIXED", "expectation": "Movement is sufficient, but market direction is divided.", "sample_size": 41, "up_pct": 24.4, "down_pct": 39.0, "active_pct": 80.5, "median_change_pct": 0.0, "median_range_pct": 5.99, "formula": "Liquid non-stable USDT pairs: volume &gt;= 10M; up/down threshold +/-1.5%; active logarithmic range threshold 3.0%; quiet active breadth threshold 35%; median direction threshold +/-1.0%."}</x:v>
      </x:c>
    </x:row>
    <x:row r="387" ht="21" customHeight="1">
      <x:c r="A387" s="8" t="n">
        <x:v>46279.745787037034</x:v>
      </x:c>
      <x:c r="B387" s="10" t="n">
        <x:v>1789397636</x:v>
      </x:c>
      <x:c r="C387" s="3" t="str">
        <x:v>production</x:v>
      </x:c>
      <x:c r="D387" s="3" t="str">
        <x:v>ACTIVE / MIXED</x:v>
      </x:c>
      <x:c r="E387" s="3" t="str">
        <x:v>Movement is sufficient, but market direction is divided.</x:v>
      </x:c>
      <x:c r="F387" s="10" t="n">
        <x:v>41</x:v>
      </x:c>
      <x:c r="G387" s="9" t="n">
        <x:v>22</x:v>
      </x:c>
      <x:c r="H387" s="9" t="n">
        <x:v>36.6</x:v>
      </x:c>
      <x:c r="I387" s="9" t="n">
        <x:v>80.5</x:v>
      </x:c>
      <x:c r="J387" s="9" t="n">
        <x:v>-0.05</x:v>
      </x:c>
      <x:c r="K387" s="9" t="n">
        <x:v>5.77</x:v>
      </x:c>
      <x:c r="L387" s="3" t="str">
        <x:v>Liquid non-stable USDT pairs: volume &gt;= 10M; up/down threshold +/-1.5%; active logarithmic range threshold 3.0%; quiet active breadth threshold 35%; median direction threshold +/-1.0%.</x:v>
      </x:c>
      <x:c r="M387" s="10" t="n">
        <x:v>1042</x:v>
      </x:c>
      <x:c r="N387" s="3" t="str">
        <x:v>{"recorded_at": 1789397636, "environment": "production", "regime": "ACTIVE / MIXED", "expectation": "Movement is sufficient, but market direction is divided.", "sample_size": 41, "up_pct": 22.0, "down_pct": 36.6, "active_pct": 80.5, "median_change_pct": -0.05, "median_range_pct": 5.77, "formula": "Liquid non-stable USDT pairs: volume &gt;= 10M; up/down threshold +/-1.5%; active logarithmic range threshold 3.0%; quiet active breadth threshold 35%; median direction threshold +/-1.0%."}</x:v>
      </x:c>
    </x:row>
    <x:row r="388" ht="21" customHeight="1">
      <x:c r="A388" s="8" t="n">
        <x:v>46279.75659722222</x:v>
      </x:c>
      <x:c r="B388" s="10" t="n">
        <x:v>1789398570</x:v>
      </x:c>
      <x:c r="C388" s="3" t="str">
        <x:v>production</x:v>
      </x:c>
      <x:c r="D388" s="3" t="str">
        <x:v>ACTIVE / MIXED</x:v>
      </x:c>
      <x:c r="E388" s="3" t="str">
        <x:v>Movement is sufficient, but market direction is divided.</x:v>
      </x:c>
      <x:c r="F388" s="10" t="n">
        <x:v>41</x:v>
      </x:c>
      <x:c r="G388" s="9" t="n">
        <x:v>24.4</x:v>
      </x:c>
      <x:c r="H388" s="9" t="n">
        <x:v>31.7</x:v>
      </x:c>
      <x:c r="I388" s="9" t="n">
        <x:v>80.5</x:v>
      </x:c>
      <x:c r="J388" s="9" t="n">
        <x:v>0.34</x:v>
      </x:c>
      <x:c r="K388" s="9" t="n">
        <x:v>5.52</x:v>
      </x:c>
      <x:c r="L388" s="3" t="str">
        <x:v>Liquid non-stable USDT pairs: volume &gt;= 10M; up/down threshold +/-1.5%; active logarithmic range threshold 3.0%; quiet active breadth threshold 35%; median direction threshold +/-1.0%.</x:v>
      </x:c>
      <x:c r="M388" s="10" t="n">
        <x:v>1043</x:v>
      </x:c>
      <x:c r="N388" s="3" t="str">
        <x:v>{"recorded_at": 1789398570, "environment": "production", "regime": "ACTIVE / MIXED", "expectation": "Movement is sufficient, but market direction is divided.", "sample_size": 41, "up_pct": 24.4, "down_pct": 31.7, "active_pct": 80.5, "median_change_pct": 0.34, "median_range_pct": 5.52, "formula": "Liquid non-stable USDT pairs: volume &gt;= 10M; up/down threshold +/-1.5%; active logarithmic range threshold 3.0%; quiet active breadth threshold 35%; median direction threshold +/-1.0%."}</x:v>
      </x:c>
    </x:row>
    <x:row r="389" ht="21" customHeight="1">
      <x:c r="A389" s="8" t="n">
        <x:v>46279.76715277778</x:v>
      </x:c>
      <x:c r="B389" s="10" t="n">
        <x:v>1789399482</x:v>
      </x:c>
      <x:c r="C389" s="3" t="str">
        <x:v>production</x:v>
      </x:c>
      <x:c r="D389" s="3" t="str">
        <x:v>ACTIVE / MIXED</x:v>
      </x:c>
      <x:c r="E389" s="3" t="str">
        <x:v>Movement is sufficient, but market direction is divided.</x:v>
      </x:c>
      <x:c r="F389" s="10" t="n">
        <x:v>41</x:v>
      </x:c>
      <x:c r="G389" s="9" t="n">
        <x:v>26.8</x:v>
      </x:c>
      <x:c r="H389" s="9" t="n">
        <x:v>34.1</x:v>
      </x:c>
      <x:c r="I389" s="9" t="n">
        <x:v>80.5</x:v>
      </x:c>
      <x:c r="J389" s="9" t="n">
        <x:v>0.29</x:v>
      </x:c>
      <x:c r="K389" s="9" t="n">
        <x:v>5.52</x:v>
      </x:c>
      <x:c r="L389" s="3" t="str">
        <x:v>Liquid non-stable USDT pairs: volume &gt;= 10M; up/down threshold +/-1.5%; active logarithmic range threshold 3.0%; quiet active breadth threshold 35%; median direction threshold +/-1.0%.</x:v>
      </x:c>
      <x:c r="M389" s="10" t="n">
        <x:v>1044</x:v>
      </x:c>
      <x:c r="N389" s="3" t="str">
        <x:v>{"recorded_at": 1789399482, "environment": "production", "regime": "ACTIVE / MIXED", "expectation": "Movement is sufficient, but market direction is divided.", "sample_size": 41, "up_pct": 26.8, "down_pct": 34.1, "active_pct": 80.5, "median_change_pct": 0.29, "median_range_pct": 5.52, "formula": "Liquid non-stable USDT pairs: volume &gt;= 10M; up/down threshold +/-1.5%; active logarithmic range threshold 3.0%; quiet active breadth threshold 35%; median direction threshold +/-1.0%."}</x:v>
      </x:c>
    </x:row>
    <x:row r="390" ht="21" customHeight="1">
      <x:c r="A390" s="8" t="n">
        <x:v>46279.77761574074</x:v>
      </x:c>
      <x:c r="B390" s="10" t="n">
        <x:v>1789400386</x:v>
      </x:c>
      <x:c r="C390" s="3" t="str">
        <x:v>production</x:v>
      </x:c>
      <x:c r="D390" s="3" t="str">
        <x:v>ACTIVE / MIXED</x:v>
      </x:c>
      <x:c r="E390" s="3" t="str">
        <x:v>Movement is sufficient, but market direction is divided.</x:v>
      </x:c>
      <x:c r="F390" s="10" t="n">
        <x:v>41</x:v>
      </x:c>
      <x:c r="G390" s="9" t="n">
        <x:v>29.3</x:v>
      </x:c>
      <x:c r="H390" s="9" t="n">
        <x:v>29.3</x:v>
      </x:c>
      <x:c r="I390" s="9" t="n">
        <x:v>80.5</x:v>
      </x:c>
      <x:c r="J390" s="9" t="n">
        <x:v>0.33</x:v>
      </x:c>
      <x:c r="K390" s="9" t="n">
        <x:v>5.52</x:v>
      </x:c>
      <x:c r="L390" s="3" t="str">
        <x:v>Liquid non-stable USDT pairs: volume &gt;= 10M; up/down threshold +/-1.5%; active logarithmic range threshold 3.0%; quiet active breadth threshold 35%; median direction threshold +/-1.0%.</x:v>
      </x:c>
      <x:c r="M390" s="10" t="n">
        <x:v>1045</x:v>
      </x:c>
      <x:c r="N390" s="3" t="str">
        <x:v>{"recorded_at": 1789400386, "environment": "production", "regime": "ACTIVE / MIXED", "expectation": "Movement is sufficient, but market direction is divided.", "sample_size": 41, "up_pct": 29.3, "down_pct": 29.3, "active_pct": 80.5, "median_change_pct": 0.33, "median_range_pct": 5.52, "formula": "Liquid non-stable USDT pairs: volume &gt;= 10M; up/down threshold +/-1.5%; active logarithmic range threshold 3.0%; quiet active breadth threshold 35%; median direction threshold +/-1.0%."}</x:v>
      </x:c>
    </x:row>
    <x:row r="391" ht="21" customHeight="1">
      <x:c r="A391" s="8" t="n">
        <x:v>46279.78810185185</x:v>
      </x:c>
      <x:c r="B391" s="10" t="n">
        <x:v>1789401292</x:v>
      </x:c>
      <x:c r="C391" s="3" t="str">
        <x:v>production</x:v>
      </x:c>
      <x:c r="D391" s="3" t="str">
        <x:v>ACTIVE / MIXED</x:v>
      </x:c>
      <x:c r="E391" s="3" t="str">
        <x:v>Movement is sufficient, but market direction is divided.</x:v>
      </x:c>
      <x:c r="F391" s="10" t="n">
        <x:v>41</x:v>
      </x:c>
      <x:c r="G391" s="9" t="n">
        <x:v>36.6</x:v>
      </x:c>
      <x:c r="H391" s="9" t="n">
        <x:v>31.7</x:v>
      </x:c>
      <x:c r="I391" s="9" t="n">
        <x:v>80.5</x:v>
      </x:c>
      <x:c r="J391" s="9" t="n">
        <x:v>0.05</x:v>
      </x:c>
      <x:c r="K391" s="9" t="n">
        <x:v>5.52</x:v>
      </x:c>
      <x:c r="L391" s="3" t="str">
        <x:v>Liquid non-stable USDT pairs: volume &gt;= 10M; up/down threshold +/-1.5%; active logarithmic range threshold 3.0%; quiet active breadth threshold 35%; median direction threshold +/-1.0%.</x:v>
      </x:c>
      <x:c r="M391" s="10" t="n">
        <x:v>1046</x:v>
      </x:c>
      <x:c r="N391" s="3" t="str">
        <x:v>{"recorded_at": 1789401292, "environment": "production", "regime": "ACTIVE / MIXED", "expectation": "Movement is sufficient, but market direction is divided.", "sample_size": 41, "up_pct": 36.6, "down_pct": 31.7, "active_pct": 80.5, "median_change_pct": 0.05, "median_range_pct": 5.52, "formula": "Liquid non-stable USDT pairs: volume &gt;= 10M; up/down threshold +/-1.5%; active logarithmic range threshold 3.0%; quiet active breadth threshold 35%; median direction threshold +/-1.0%."}</x:v>
      </x:c>
    </x:row>
    <x:row r="392" ht="21" customHeight="1">
      <x:c r="A392" s="8" t="n">
        <x:v>46279.79864583333</x:v>
      </x:c>
      <x:c r="B392" s="10" t="n">
        <x:v>1789402203</x:v>
      </x:c>
      <x:c r="C392" s="3" t="str">
        <x:v>production</x:v>
      </x:c>
      <x:c r="D392" s="3" t="str">
        <x:v>ACTIVE / MIXED</x:v>
      </x:c>
      <x:c r="E392" s="3" t="str">
        <x:v>Movement is sufficient, but market direction is divided.</x:v>
      </x:c>
      <x:c r="F392" s="10" t="n">
        <x:v>41</x:v>
      </x:c>
      <x:c r="G392" s="9" t="n">
        <x:v>24.4</x:v>
      </x:c>
      <x:c r="H392" s="9" t="n">
        <x:v>31.7</x:v>
      </x:c>
      <x:c r="I392" s="9" t="n">
        <x:v>80.5</x:v>
      </x:c>
      <x:c r="J392" s="9" t="n">
        <x:v>0.04</x:v>
      </x:c>
      <x:c r="K392" s="9" t="n">
        <x:v>5.52</x:v>
      </x:c>
      <x:c r="L392" s="3" t="str">
        <x:v>Liquid non-stable USDT pairs: volume &gt;= 10M; up/down threshold +/-1.5%; active logarithmic range threshold 3.0%; quiet active breadth threshold 35%; median direction threshold +/-1.0%.</x:v>
      </x:c>
      <x:c r="M392" s="10" t="n">
        <x:v>1047</x:v>
      </x:c>
      <x:c r="N392" s="3" t="str">
        <x:v>{"recorded_at": 1789402203, "environment": "production", "regime": "ACTIVE / MIXED", "expectation": "Movement is sufficient, but market direction is divided.", "sample_size": 41, "up_pct": 24.4, "down_pct": 31.7, "active_pct": 80.5, "median_change_pct": 0.04, "median_range_pct": 5.52, "formula": "Liquid non-stable USDT pairs: volume &gt;= 10M; up/down threshold +/-1.5%; active logarithmic range threshold 3.0%; quiet active breadth threshold 35%; median direction threshold +/-1.0%."}</x:v>
      </x:c>
    </x:row>
    <x:row r="393" ht="21" customHeight="1">
      <x:c r="A393" s="8" t="n">
        <x:v>46279.80915509259</x:v>
      </x:c>
      <x:c r="B393" s="10" t="n">
        <x:v>1789403111</x:v>
      </x:c>
      <x:c r="C393" s="3" t="str">
        <x:v>production</x:v>
      </x:c>
      <x:c r="D393" s="3" t="str">
        <x:v>ACTIVE / MIXED</x:v>
      </x:c>
      <x:c r="E393" s="3" t="str">
        <x:v>Movement is sufficient, but market direction is divided.</x:v>
      </x:c>
      <x:c r="F393" s="10" t="n">
        <x:v>41</x:v>
      </x:c>
      <x:c r="G393" s="9" t="n">
        <x:v>39</x:v>
      </x:c>
      <x:c r="H393" s="9" t="n">
        <x:v>29.3</x:v>
      </x:c>
      <x:c r="I393" s="9" t="n">
        <x:v>82.9</x:v>
      </x:c>
      <x:c r="J393" s="9" t="n">
        <x:v>0.68</x:v>
      </x:c>
      <x:c r="K393" s="9" t="n">
        <x:v>5.99</x:v>
      </x:c>
      <x:c r="L393" s="3" t="str">
        <x:v>Liquid non-stable USDT pairs: volume &gt;= 10M; up/down threshold +/-1.5%; active logarithmic range threshold 3.0%; quiet active breadth threshold 35%; median direction threshold +/-1.0%.</x:v>
      </x:c>
      <x:c r="M393" s="10" t="n">
        <x:v>1048</x:v>
      </x:c>
      <x:c r="N393" s="3" t="str">
        <x:v>{"recorded_at": 1789403111, "environment": "production", "regime": "ACTIVE / MIXED", "expectation": "Movement is sufficient, but market direction is divided.", "sample_size": 41, "up_pct": 39.0, "down_pct": 29.3, "active_pct": 82.9, "median_change_pct": 0.68, "median_range_pct": 5.99, "formula": "Liquid non-stable USDT pairs: volume &gt;= 10M; up/down threshold +/-1.5%; active logarithmic range threshold 3.0%; quiet active breadth threshold 35%; median direction threshold +/-1.0%."}</x:v>
      </x:c>
    </x:row>
    <x:row r="394" ht="21" customHeight="1">
      <x:c r="A394" s="8" t="n">
        <x:v>46279.81961805555</x:v>
      </x:c>
      <x:c r="B394" s="10" t="n">
        <x:v>1789404015</x:v>
      </x:c>
      <x:c r="C394" s="3" t="str">
        <x:v>production</x:v>
      </x:c>
      <x:c r="D394" s="3" t="str">
        <x:v>ACTIVE / MIXED</x:v>
      </x:c>
      <x:c r="E394" s="3" t="str">
        <x:v>Movement is sufficient, but market direction is divided.</x:v>
      </x:c>
      <x:c r="F394" s="10" t="n">
        <x:v>41</x:v>
      </x:c>
      <x:c r="G394" s="9" t="n">
        <x:v>39</x:v>
      </x:c>
      <x:c r="H394" s="9" t="n">
        <x:v>31.7</x:v>
      </x:c>
      <x:c r="I394" s="9" t="n">
        <x:v>82.9</x:v>
      </x:c>
      <x:c r="J394" s="9" t="n">
        <x:v>0.3</x:v>
      </x:c>
      <x:c r="K394" s="9" t="n">
        <x:v>5.99</x:v>
      </x:c>
      <x:c r="L394" s="3" t="str">
        <x:v>Liquid non-stable USDT pairs: volume &gt;= 10M; up/down threshold +/-1.5%; active logarithmic range threshold 3.0%; quiet active breadth threshold 35%; median direction threshold +/-1.0%.</x:v>
      </x:c>
      <x:c r="M394" s="10" t="n">
        <x:v>1049</x:v>
      </x:c>
      <x:c r="N394" s="3" t="str">
        <x:v>{"recorded_at": 1789404015, "environment": "production", "regime": "ACTIVE / MIXED", "expectation": "Movement is sufficient, but market direction is divided.", "sample_size": 41, "up_pct": 39.0, "down_pct": 31.7, "active_pct": 82.9, "median_change_pct": 0.3, "median_range_pct": 5.99, "formula": "Liquid non-stable USDT pairs: volume &gt;= 10M; up/down threshold +/-1.5%; active logarithmic range threshold 3.0%; quiet active breadth threshold 35%; median direction threshold +/-1.0%."}</x:v>
      </x:c>
    </x:row>
    <x:row r="395" ht="21" customHeight="1">
      <x:c r="A395" s="8" t="n">
        <x:v>46279.83015046296</x:v>
      </x:c>
      <x:c r="B395" s="10" t="n">
        <x:v>1789404925</x:v>
      </x:c>
      <x:c r="C395" s="3" t="str">
        <x:v>production</x:v>
      </x:c>
      <x:c r="D395" s="3" t="str">
        <x:v>ACTIVE / MIXED</x:v>
      </x:c>
      <x:c r="E395" s="3" t="str">
        <x:v>Movement is sufficient, but market direction is divided.</x:v>
      </x:c>
      <x:c r="F395" s="10" t="n">
        <x:v>41</x:v>
      </x:c>
      <x:c r="G395" s="9" t="n">
        <x:v>41.5</x:v>
      </x:c>
      <x:c r="H395" s="9" t="n">
        <x:v>29.3</x:v>
      </x:c>
      <x:c r="I395" s="9" t="n">
        <x:v>82.9</x:v>
      </x:c>
      <x:c r="J395" s="9" t="n">
        <x:v>0.54</x:v>
      </x:c>
      <x:c r="K395" s="9" t="n">
        <x:v>6.01</x:v>
      </x:c>
      <x:c r="L395" s="3" t="str">
        <x:v>Liquid non-stable USDT pairs: volume &gt;= 10M; up/down threshold +/-1.5%; active logarithmic range threshold 3.0%; quiet active breadth threshold 35%; median direction threshold +/-1.0%.</x:v>
      </x:c>
      <x:c r="M395" s="10" t="n">
        <x:v>1050</x:v>
      </x:c>
      <x:c r="N395" s="3" t="str">
        <x:v>{"recorded_at": 1789404925, "environment": "production", "regime": "ACTIVE / MIXED", "expectation": "Movement is sufficient, but market direction is divided.", "sample_size": 41, "up_pct": 41.5, "down_pct": 29.3, "active_pct": 82.9, "median_change_pct": 0.54, "median_range_pct": 6.01, "formula": "Liquid non-stable USDT pairs: volume &gt;= 10M; up/down threshold +/-1.5%; active logarithmic range threshold 3.0%; quiet active breadth threshold 35%; median direction threshold +/-1.0%."}</x:v>
      </x:c>
    </x:row>
    <x:row r="396" ht="21" customHeight="1">
      <x:c r="A396" s="8" t="n">
        <x:v>46279.8406712963</x:v>
      </x:c>
      <x:c r="B396" s="10" t="n">
        <x:v>1789405834</x:v>
      </x:c>
      <x:c r="C396" s="3" t="str">
        <x:v>production</x:v>
      </x:c>
      <x:c r="D396" s="3" t="str">
        <x:v>ACTIVE / MIXED</x:v>
      </x:c>
      <x:c r="E396" s="3" t="str">
        <x:v>Movement is sufficient, but market direction is divided.</x:v>
      </x:c>
      <x:c r="F396" s="10" t="n">
        <x:v>41</x:v>
      </x:c>
      <x:c r="G396" s="9" t="n">
        <x:v>34.1</x:v>
      </x:c>
      <x:c r="H396" s="9" t="n">
        <x:v>29.3</x:v>
      </x:c>
      <x:c r="I396" s="9" t="n">
        <x:v>82.9</x:v>
      </x:c>
      <x:c r="J396" s="9" t="n">
        <x:v>0.04</x:v>
      </x:c>
      <x:c r="K396" s="9" t="n">
        <x:v>6.01</x:v>
      </x:c>
      <x:c r="L396" s="3" t="str">
        <x:v>Liquid non-stable USDT pairs: volume &gt;= 10M; up/down threshold +/-1.5%; active logarithmic range threshold 3.0%; quiet active breadth threshold 35%; median direction threshold +/-1.0%.</x:v>
      </x:c>
      <x:c r="M396" s="10" t="n">
        <x:v>1051</x:v>
      </x:c>
      <x:c r="N396" s="3" t="str">
        <x:v>{"recorded_at": 1789405834, "environment": "production", "regime": "ACTIVE / MIXED", "expectation": "Movement is sufficient, but market direction is divided.", "sample_size": 41, "up_pct": 34.1, "down_pct": 29.3, "active_pct": 82.9, "median_change_pct": 0.04, "median_range_pct": 6.01, "formula": "Liquid non-stable USDT pairs: volume &gt;= 10M; up/down threshold +/-1.5%; active logarithmic range threshold 3.0%; quiet active breadth threshold 35%; median direction threshold +/-1.0%."}</x:v>
      </x:c>
    </x:row>
    <x:row r="397" ht="21" customHeight="1">
      <x:c r="A397" s="8" t="n">
        <x:v>46279.851122685184</x:v>
      </x:c>
      <x:c r="B397" s="10" t="n">
        <x:v>1789406737</x:v>
      </x:c>
      <x:c r="C397" s="3" t="str">
        <x:v>production</x:v>
      </x:c>
      <x:c r="D397" s="3" t="str">
        <x:v>ACTIVE / MIXED</x:v>
      </x:c>
      <x:c r="E397" s="3" t="str">
        <x:v>Movement is sufficient, but market direction is divided.</x:v>
      </x:c>
      <x:c r="F397" s="10" t="n">
        <x:v>41</x:v>
      </x:c>
      <x:c r="G397" s="9" t="n">
        <x:v>34.1</x:v>
      </x:c>
      <x:c r="H397" s="9" t="n">
        <x:v>26.8</x:v>
      </x:c>
      <x:c r="I397" s="9" t="n">
        <x:v>85.4</x:v>
      </x:c>
      <x:c r="J397" s="9" t="n">
        <x:v>0.33</x:v>
      </x:c>
      <x:c r="K397" s="9" t="n">
        <x:v>5.99</x:v>
      </x:c>
      <x:c r="L397" s="3" t="str">
        <x:v>Liquid non-stable USDT pairs: volume &gt;= 10M; up/down threshold +/-1.5%; active logarithmic range threshold 3.0%; quiet active breadth threshold 35%; median direction threshold +/-1.0%.</x:v>
      </x:c>
      <x:c r="M397" s="10" t="n">
        <x:v>1052</x:v>
      </x:c>
      <x:c r="N397" s="3" t="str">
        <x:v>{"recorded_at": 1789406737, "environment": "production", "regime": "ACTIVE / MIXED", "expectation": "Movement is sufficient, but market direction is divided.", "sample_size": 41, "up_pct": 34.1, "down_pct": 26.8, "active_pct": 85.4, "median_change_pct": 0.33, "median_range_pct": 5.99, "formula": "Liquid non-stable USDT pairs: volume &gt;= 10M; up/down threshold +/-1.5%; active logarithmic range threshold 3.0%; quiet active breadth threshold 35%; median direction threshold +/-1.0%."}</x:v>
      </x:c>
    </x:row>
    <x:row r="398" ht="21" customHeight="1">
      <x:c r="A398" s="8" t="n">
        <x:v>46279.861655092594</x:v>
      </x:c>
      <x:c r="B398" s="10" t="n">
        <x:v>1789407647</x:v>
      </x:c>
      <x:c r="C398" s="3" t="str">
        <x:v>production</x:v>
      </x:c>
      <x:c r="D398" s="3" t="str">
        <x:v>ACTIVE / MIXED</x:v>
      </x:c>
      <x:c r="E398" s="3" t="str">
        <x:v>Movement is sufficient, but market direction is divided.</x:v>
      </x:c>
      <x:c r="F398" s="10" t="n">
        <x:v>42</x:v>
      </x:c>
      <x:c r="G398" s="9" t="n">
        <x:v>35.7</x:v>
      </x:c>
      <x:c r="H398" s="9" t="n">
        <x:v>21.4</x:v>
      </x:c>
      <x:c r="I398" s="9" t="n">
        <x:v>85.7</x:v>
      </x:c>
      <x:c r="J398" s="9" t="n">
        <x:v>0.51</x:v>
      </x:c>
      <x:c r="K398" s="9" t="n">
        <x:v>6.01</x:v>
      </x:c>
      <x:c r="L398" s="3" t="str">
        <x:v>Liquid non-stable USDT pairs: volume &gt;= 10M; up/down threshold +/-1.5%; active logarithmic range threshold 3.0%; quiet active breadth threshold 35%; median direction threshold +/-1.0%.</x:v>
      </x:c>
      <x:c r="M398" s="10" t="n">
        <x:v>1053</x:v>
      </x:c>
      <x:c r="N398" s="3" t="str">
        <x:v>{"recorded_at": 1789407647, "environment": "production", "regime": "ACTIVE / MIXED", "expectation": "Movement is sufficient, but market direction is divided.", "sample_size": 42, "up_pct": 35.7, "down_pct": 21.4, "active_pct": 85.7, "median_change_pct": 0.51, "median_range_pct": 6.01, "formula": "Liquid non-stable USDT pairs: volume &gt;= 10M; up/down threshold +/-1.5%; active logarithmic range threshold 3.0%; quiet active breadth threshold 35%; median direction threshold +/-1.0%."}</x:v>
      </x:c>
    </x:row>
    <x:row r="399" ht="21" customHeight="1">
      <x:c r="A399" s="8" t="n">
        <x:v>46279.872199074074</x:v>
      </x:c>
      <x:c r="B399" s="10" t="n">
        <x:v>1789408558</x:v>
      </x:c>
      <x:c r="C399" s="3" t="str">
        <x:v>production</x:v>
      </x:c>
      <x:c r="D399" s="3" t="str">
        <x:v>ACTIVE / MIXED</x:v>
      </x:c>
      <x:c r="E399" s="3" t="str">
        <x:v>Movement is sufficient, but market direction is divided.</x:v>
      </x:c>
      <x:c r="F399" s="10" t="n">
        <x:v>42</x:v>
      </x:c>
      <x:c r="G399" s="9" t="n">
        <x:v>42.9</x:v>
      </x:c>
      <x:c r="H399" s="9" t="n">
        <x:v>21.4</x:v>
      </x:c>
      <x:c r="I399" s="9" t="n">
        <x:v>85.7</x:v>
      </x:c>
      <x:c r="J399" s="9" t="n">
        <x:v>0.76</x:v>
      </x:c>
      <x:c r="K399" s="9" t="n">
        <x:v>6.11</x:v>
      </x:c>
      <x:c r="L399" s="3" t="str">
        <x:v>Liquid non-stable USDT pairs: volume &gt;= 10M; up/down threshold +/-1.5%; active logarithmic range threshold 3.0%; quiet active breadth threshold 35%; median direction threshold +/-1.0%.</x:v>
      </x:c>
      <x:c r="M399" s="10" t="n">
        <x:v>1054</x:v>
      </x:c>
      <x:c r="N399" s="3" t="str">
        <x:v>{"recorded_at": 1789408558, "environment": "production", "regime": "ACTIVE / MIXED", "expectation": "Movement is sufficient, but market direction is divided.", "sample_size": 42, "up_pct": 42.9, "down_pct": 21.4, "active_pct": 85.7, "median_change_pct": 0.76, "median_range_pct": 6.11, "formula": "Liquid non-stable USDT pairs: volume &gt;= 10M; up/down threshold +/-1.5%; active logarithmic range threshold 3.0%; quiet active breadth threshold 35%; median direction threshold +/-1.0%."}</x:v>
      </x:c>
    </x:row>
    <x:row r="400" ht="21" customHeight="1">
      <x:c r="A400" s="8" t="n">
        <x:v>46279.882627314815</x:v>
      </x:c>
      <x:c r="B400" s="10" t="n">
        <x:v>1789409459</x:v>
      </x:c>
      <x:c r="C400" s="3" t="str">
        <x:v>production</x:v>
      </x:c>
      <x:c r="D400" s="3" t="str">
        <x:v>ACTIVE / MIXED</x:v>
      </x:c>
      <x:c r="E400" s="3" t="str">
        <x:v>Movement is sufficient, but market direction is divided.</x:v>
      </x:c>
      <x:c r="F400" s="10" t="n">
        <x:v>42</x:v>
      </x:c>
      <x:c r="G400" s="9" t="n">
        <x:v>40.5</x:v>
      </x:c>
      <x:c r="H400" s="9" t="n">
        <x:v>23.8</x:v>
      </x:c>
      <x:c r="I400" s="9" t="n">
        <x:v>85.7</x:v>
      </x:c>
      <x:c r="J400" s="9" t="n">
        <x:v>0.82</x:v>
      </x:c>
      <x:c r="K400" s="9" t="n">
        <x:v>6.2</x:v>
      </x:c>
      <x:c r="L400" s="3" t="str">
        <x:v>Liquid non-stable USDT pairs: volume &gt;= 10M; up/down threshold +/-1.5%; active logarithmic range threshold 3.0%; quiet active breadth threshold 35%; median direction threshold +/-1.0%.</x:v>
      </x:c>
      <x:c r="M400" s="10" t="n">
        <x:v>1055</x:v>
      </x:c>
      <x:c r="N400" s="3" t="str">
        <x:v>{"recorded_at": 1789409459, "environment": "production", "regime": "ACTIVE / MIXED", "expectation": "Movement is sufficient, but market direction is divided.", "sample_size": 42, "up_pct": 40.5, "down_pct": 23.8, "active_pct": 85.7, "median_change_pct": 0.82, "median_range_pct": 6.2, "formula": "Liquid non-stable USDT pairs: volume &gt;= 10M; up/down threshold +/-1.5%; active logarithmic range threshold 3.0%; quiet active breadth threshold 35%; median direction threshold +/-1.0%."}</x:v>
      </x:c>
    </x:row>
    <x:row r="401" ht="21" customHeight="1">
      <x:c r="A401" s="8" t="n">
        <x:v>46279.89331018519</x:v>
      </x:c>
      <x:c r="B401" s="10" t="n">
        <x:v>1789410382</x:v>
      </x:c>
      <x:c r="C401" s="3" t="str">
        <x:v>production</x:v>
      </x:c>
      <x:c r="D401" s="3" t="str">
        <x:v>ACTIVE / POSITIVE</x:v>
      </x:c>
      <x:c r="E401" s="3" t="str">
        <x:v>Broad momentum is positive; still require entry confirmation.</x:v>
      </x:c>
      <x:c r="F401" s="10" t="n">
        <x:v>42</x:v>
      </x:c>
      <x:c r="G401" s="9" t="n">
        <x:v>47.6</x:v>
      </x:c>
      <x:c r="H401" s="9" t="n">
        <x:v>23.8</x:v>
      </x:c>
      <x:c r="I401" s="9" t="n">
        <x:v>88.1</x:v>
      </x:c>
      <x:c r="J401" s="9" t="n">
        <x:v>1.01</x:v>
      </x:c>
      <x:c r="K401" s="9" t="n">
        <x:v>6.6</x:v>
      </x:c>
      <x:c r="L401" s="3" t="str">
        <x:v>Liquid non-stable USDT pairs: volume &gt;= 10M; up/down threshold +/-1.5%; active logarithmic range threshold 3.0%; quiet active breadth threshold 35%; median direction threshold +/-1.0%.</x:v>
      </x:c>
      <x:c r="M401" s="10" t="n">
        <x:v>1056</x:v>
      </x:c>
      <x:c r="N401" s="3" t="str">
        <x:v>{"recorded_at": 1789410382, "environment": "production", "regime": "ACTIVE / POSITIVE", "expectation": "Broad momentum is positive; still require entry confirmation.", "sample_size": 42, "up_pct": 47.6, "down_pct": 23.8, "active_pct": 88.1, "median_change_pct": 1.01, "median_range_pct": 6.6, "formula": "Liquid non-stable USDT pairs: volume &gt;= 10M; up/down threshold +/-1.5%; active logarithmic range threshold 3.0%; quiet active breadth threshold 35%; median direction threshold +/-1.0%."}</x:v>
      </x:c>
    </x:row>
    <x:row r="402" ht="21" customHeight="1">
      <x:c r="A402" s="8" t="n">
        <x:v>46279.90377314815</x:v>
      </x:c>
      <x:c r="B402" s="10" t="n">
        <x:v>1789411286</x:v>
      </x:c>
      <x:c r="C402" s="3" t="str">
        <x:v>production</x:v>
      </x:c>
      <x:c r="D402" s="3" t="str">
        <x:v>ACTIVE / MIXED</x:v>
      </x:c>
      <x:c r="E402" s="3" t="str">
        <x:v>Movement is sufficient, but market direction is divided.</x:v>
      </x:c>
      <x:c r="F402" s="10" t="n">
        <x:v>42</x:v>
      </x:c>
      <x:c r="G402" s="9" t="n">
        <x:v>42.9</x:v>
      </x:c>
      <x:c r="H402" s="9" t="n">
        <x:v>28.6</x:v>
      </x:c>
      <x:c r="I402" s="9" t="n">
        <x:v>88.1</x:v>
      </x:c>
      <x:c r="J402" s="9" t="n">
        <x:v>0.69</x:v>
      </x:c>
      <x:c r="K402" s="9" t="n">
        <x:v>6.77</x:v>
      </x:c>
      <x:c r="L402" s="3" t="str">
        <x:v>Liquid non-stable USDT pairs: volume &gt;= 10M; up/down threshold +/-1.5%; active logarithmic range threshold 3.0%; quiet active breadth threshold 35%; median direction threshold +/-1.0%.</x:v>
      </x:c>
      <x:c r="M402" s="10" t="n">
        <x:v>1057</x:v>
      </x:c>
      <x:c r="N402" s="3" t="str">
        <x:v>{"recorded_at": 1789411286, "environment": "production", "regime": "ACTIVE / MIXED", "expectation": "Movement is sufficient, but market direction is divided.", "sample_size": 42, "up_pct": 42.9, "down_pct": 28.6, "active_pct": 88.1, "median_change_pct": 0.69, "median_range_pct": 6.77, "formula": "Liquid non-stable USDT pairs: volume &gt;= 10M; up/down threshold +/-1.5%; active logarithmic range threshold 3.0%; quiet active breadth threshold 35%; median direction threshold +/-1.0%."}</x:v>
      </x:c>
    </x:row>
    <x:row r="403" ht="21" customHeight="1">
      <x:c r="A403" s="8" t="n">
        <x:v>46279.914606481485</x:v>
      </x:c>
      <x:c r="B403" s="10" t="n">
        <x:v>1789412222</x:v>
      </x:c>
      <x:c r="C403" s="3" t="str">
        <x:v>production</x:v>
      </x:c>
      <x:c r="D403" s="3" t="str">
        <x:v>ACTIVE / MIXED</x:v>
      </x:c>
      <x:c r="E403" s="3" t="str">
        <x:v>Movement is sufficient, but market direction is divided.</x:v>
      </x:c>
      <x:c r="F403" s="10" t="n">
        <x:v>41</x:v>
      </x:c>
      <x:c r="G403" s="9" t="n">
        <x:v>43.9</x:v>
      </x:c>
      <x:c r="H403" s="9" t="n">
        <x:v>26.8</x:v>
      </x:c>
      <x:c r="I403" s="9" t="n">
        <x:v>87.8</x:v>
      </x:c>
      <x:c r="J403" s="9" t="n">
        <x:v>0.86</x:v>
      </x:c>
      <x:c r="K403" s="9" t="n">
        <x:v>6.79</x:v>
      </x:c>
      <x:c r="L403" s="3" t="str">
        <x:v>Liquid non-stable USDT pairs: volume &gt;= 10M; up/down threshold +/-1.5%; active logarithmic range threshold 3.0%; quiet active breadth threshold 35%; median direction threshold +/-1.0%.</x:v>
      </x:c>
      <x:c r="M403" s="10" t="n">
        <x:v>1058</x:v>
      </x:c>
      <x:c r="N403" s="3" t="str">
        <x:v>{"recorded_at": 1789412222, "environment": "production", "regime": "ACTIVE / MIXED", "expectation": "Movement is sufficient, but market direction is divided.", "sample_size": 41, "up_pct": 43.9, "down_pct": 26.8, "active_pct": 87.8, "median_change_pct": 0.86, "median_range_pct": 6.79, "formula": "Liquid non-stable USDT pairs: volume &gt;= 10M; up/down threshold +/-1.5%; active logarithmic range threshold 3.0%; quiet active breadth threshold 35%; median direction threshold +/-1.0%."}</x:v>
      </x:c>
    </x:row>
    <x:row r="404" ht="21" customHeight="1">
      <x:c r="A404" s="8" t="n">
        <x:v>46279.92537037037</x:v>
      </x:c>
      <x:c r="B404" s="10" t="n">
        <x:v>1789413152</x:v>
      </x:c>
      <x:c r="C404" s="3" t="str">
        <x:v>production</x:v>
      </x:c>
      <x:c r="D404" s="3" t="str">
        <x:v>ACTIVE / POSITIVE</x:v>
      </x:c>
      <x:c r="E404" s="3" t="str">
        <x:v>Broad momentum is positive; still require entry confirmation.</x:v>
      </x:c>
      <x:c r="F404" s="10" t="n">
        <x:v>41</x:v>
      </x:c>
      <x:c r="G404" s="9" t="n">
        <x:v>46.3</x:v>
      </x:c>
      <x:c r="H404" s="9" t="n">
        <x:v>26.8</x:v>
      </x:c>
      <x:c r="I404" s="9" t="n">
        <x:v>87.8</x:v>
      </x:c>
      <x:c r="J404" s="9" t="n">
        <x:v>1.03</x:v>
      </x:c>
      <x:c r="K404" s="9" t="n">
        <x:v>6.79</x:v>
      </x:c>
      <x:c r="L404" s="3" t="str">
        <x:v>Liquid non-stable USDT pairs: volume &gt;= 10M; up/down threshold +/-1.5%; active logarithmic range threshold 3.0%; quiet active breadth threshold 35%; median direction threshold +/-1.0%.</x:v>
      </x:c>
      <x:c r="M404" s="10" t="n">
        <x:v>1059</x:v>
      </x:c>
      <x:c r="N404" s="3" t="str">
        <x:v>{"recorded_at": 1789413152, "environment": "production", "regime": "ACTIVE / POSITIVE", "expectation": "Broad momentum is positive; still require entry confirmation.", "sample_size": 41, "up_pct": 46.3, "down_pct": 26.8, "active_pct": 87.8, "median_change_pct": 1.03, "median_range_pct": 6.79, "formula": "Liquid non-stable USDT pairs: volume &gt;= 10M; up/down threshold +/-1.5%; active logarithmic range threshold 3.0%; quiet active breadth threshold 35%; median direction threshold +/-1.0%."}</x:v>
      </x:c>
    </x:row>
    <x:row r="405" ht="21" customHeight="1">
      <x:c r="A405" s="8" t="n">
        <x:v>46279.936111111114</x:v>
      </x:c>
      <x:c r="B405" s="10" t="n">
        <x:v>1789414080</x:v>
      </x:c>
      <x:c r="C405" s="3" t="str">
        <x:v>production</x:v>
      </x:c>
      <x:c r="D405" s="3" t="str">
        <x:v>ACTIVE / POSITIVE</x:v>
      </x:c>
      <x:c r="E405" s="3" t="str">
        <x:v>Broad momentum is positive; still require entry confirmation.</x:v>
      </x:c>
      <x:c r="F405" s="10" t="n">
        <x:v>41</x:v>
      </x:c>
      <x:c r="G405" s="9" t="n">
        <x:v>48.8</x:v>
      </x:c>
      <x:c r="H405" s="9" t="n">
        <x:v>26.8</x:v>
      </x:c>
      <x:c r="I405" s="9" t="n">
        <x:v>87.8</x:v>
      </x:c>
      <x:c r="J405" s="9" t="n">
        <x:v>1.29</x:v>
      </x:c>
      <x:c r="K405" s="9" t="n">
        <x:v>6.86</x:v>
      </x:c>
      <x:c r="L405" s="3" t="str">
        <x:v>Liquid non-stable USDT pairs: volume &gt;= 10M; up/down threshold +/-1.5%; active logarithmic range threshold 3.0%; quiet active breadth threshold 35%; median direction threshold +/-1.0%.</x:v>
      </x:c>
      <x:c r="M405" s="10" t="n">
        <x:v>1060</x:v>
      </x:c>
      <x:c r="N405" s="3" t="str">
        <x:v>{"recorded_at": 1789414080, "environment": "production", "regime": "ACTIVE / POSITIVE", "expectation": "Broad momentum is positive; still require entry confirmation.", "sample_size": 41, "up_pct": 48.8, "down_pct": 26.8, "active_pct": 87.8, "median_change_pct": 1.29, "median_range_pct": 6.86, "formula": "Liquid non-stable USDT pairs: volume &gt;= 10M; up/down threshold +/-1.5%; active logarithmic range threshold 3.0%; quiet active breadth threshold 35%; median direction threshold +/-1.0%."}</x:v>
      </x:c>
    </x:row>
    <x:row r="406" ht="21" customHeight="1">
      <x:c r="A406" s="8" t="n">
        <x:v>46279.946805555555</x:v>
      </x:c>
      <x:c r="B406" s="10" t="n">
        <x:v>1789415004</x:v>
      </x:c>
      <x:c r="C406" s="3" t="str">
        <x:v>production</x:v>
      </x:c>
      <x:c r="D406" s="3" t="str">
        <x:v>ACTIVE / POSITIVE</x:v>
      </x:c>
      <x:c r="E406" s="3" t="str">
        <x:v>Broad momentum is positive; still require entry confirmation.</x:v>
      </x:c>
      <x:c r="F406" s="10" t="n">
        <x:v>41</x:v>
      </x:c>
      <x:c r="G406" s="9" t="n">
        <x:v>46.3</x:v>
      </x:c>
      <x:c r="H406" s="9" t="n">
        <x:v>26.8</x:v>
      </x:c>
      <x:c r="I406" s="9" t="n">
        <x:v>87.8</x:v>
      </x:c>
      <x:c r="J406" s="9" t="n">
        <x:v>1.34</x:v>
      </x:c>
      <x:c r="K406" s="9" t="n">
        <x:v>6.86</x:v>
      </x:c>
      <x:c r="L406" s="3" t="str">
        <x:v>Liquid non-stable USDT pairs: volume &gt;= 10M; up/down threshold +/-1.5%; active logarithmic range threshold 3.0%; quiet active breadth threshold 35%; median direction threshold +/-1.0%.</x:v>
      </x:c>
      <x:c r="M406" s="10" t="n">
        <x:v>1061</x:v>
      </x:c>
      <x:c r="N406" s="3" t="str">
        <x:v>{"recorded_at": 1789415004, "environment": "production", "regime": "ACTIVE / POSITIVE", "expectation": "Broad momentum is positive; still require entry confirmation.", "sample_size": 41, "up_pct": 46.3, "down_pct": 26.8, "active_pct": 87.8, "median_change_pct": 1.34, "median_range_pct": 6.86, "formula": "Liquid non-stable USDT pairs: volume &gt;= 10M; up/down threshold +/-1.5%; active logarithmic range threshold 3.0%; quiet active breadth threshold 35%; median direction threshold +/-1.0%."}</x:v>
      </x:c>
    </x:row>
    <x:row r="407" ht="21" customHeight="1">
      <x:c r="A407" s="8" t="n">
        <x:v>46279.95752314815</x:v>
      </x:c>
      <x:c r="B407" s="10" t="n">
        <x:v>1789415930</x:v>
      </x:c>
      <x:c r="C407" s="3" t="str">
        <x:v>production</x:v>
      </x:c>
      <x:c r="D407" s="3" t="str">
        <x:v>ACTIVE / POSITIVE</x:v>
      </x:c>
      <x:c r="E407" s="3" t="str">
        <x:v>Broad momentum is positive; still require entry confirmation.</x:v>
      </x:c>
      <x:c r="F407" s="10" t="n">
        <x:v>42</x:v>
      </x:c>
      <x:c r="G407" s="9" t="n">
        <x:v>47.6</x:v>
      </x:c>
      <x:c r="H407" s="9" t="n">
        <x:v>26.2</x:v>
      </x:c>
      <x:c r="I407" s="9" t="n">
        <x:v>88.1</x:v>
      </x:c>
      <x:c r="J407" s="9" t="n">
        <x:v>1.19</x:v>
      </x:c>
      <x:c r="K407" s="9" t="n">
        <x:v>6.74</x:v>
      </x:c>
      <x:c r="L407" s="3" t="str">
        <x:v>Liquid non-stable USDT pairs: volume &gt;= 10M; up/down threshold +/-1.5%; active logarithmic range threshold 3.0%; quiet active breadth threshold 35%; median direction threshold +/-1.0%.</x:v>
      </x:c>
      <x:c r="M407" s="10" t="n">
        <x:v>1062</x:v>
      </x:c>
      <x:c r="N407" s="3" t="str">
        <x:v>{"recorded_at": 1789415930, "environment": "production", "regime": "ACTIVE / POSITIVE", "expectation": "Broad momentum is positive; still require entry confirmation.", "sample_size": 42, "up_pct": 47.6, "down_pct": 26.2, "active_pct": 88.1, "median_change_pct": 1.19, "median_range_pct": 6.74, "formula": "Liquid non-stable USDT pairs: volume &gt;= 10M; up/down threshold +/-1.5%; active logarithmic range threshold 3.0%; quiet active breadth threshold 35%; median direction threshold +/-1.0%."}</x:v>
      </x:c>
    </x:row>
    <x:row r="408" ht="21" customHeight="1">
      <x:c r="A408" s="8" t="n">
        <x:v>46279.968125</x:v>
      </x:c>
      <x:c r="B408" s="10" t="n">
        <x:v>1789416846</x:v>
      </x:c>
      <x:c r="C408" s="3" t="str">
        <x:v>production</x:v>
      </x:c>
      <x:c r="D408" s="3" t="str">
        <x:v>ACTIVE / POSITIVE</x:v>
      </x:c>
      <x:c r="E408" s="3" t="str">
        <x:v>Broad momentum is positive; still require entry confirmation.</x:v>
      </x:c>
      <x:c r="F408" s="10" t="n">
        <x:v>42</x:v>
      </x:c>
      <x:c r="G408" s="9" t="n">
        <x:v>52.4</x:v>
      </x:c>
      <x:c r="H408" s="9" t="n">
        <x:v>26.2</x:v>
      </x:c>
      <x:c r="I408" s="9" t="n">
        <x:v>88.1</x:v>
      </x:c>
      <x:c r="J408" s="9" t="n">
        <x:v>2.02</x:v>
      </x:c>
      <x:c r="K408" s="9" t="n">
        <x:v>6.98</x:v>
      </x:c>
      <x:c r="L408" s="3" t="str">
        <x:v>Liquid non-stable USDT pairs: volume &gt;= 10M; up/down threshold +/-1.5%; active logarithmic range threshold 3.0%; quiet active breadth threshold 35%; median direction threshold +/-1.0%.</x:v>
      </x:c>
      <x:c r="M408" s="10" t="n">
        <x:v>1063</x:v>
      </x:c>
      <x:c r="N408" s="3" t="str">
        <x:v>{"recorded_at": 1789416846, "environment": "production", "regime": "ACTIVE / POSITIVE", "expectation": "Broad momentum is positive; still require entry confirmation.", "sample_size": 42, "up_pct": 52.4, "down_pct": 26.2, "active_pct": 88.1, "median_change_pct": 2.02, "median_range_pct": 6.98, "formula": "Liquid non-stable USDT pairs: volume &gt;= 10M; up/down threshold +/-1.5%; active logarithmic range threshold 3.0%; quiet active breadth threshold 35%; median direction threshold +/-1.0%."}</x:v>
      </x:c>
    </x:row>
    <x:row r="409" ht="21" customHeight="1">
      <x:c r="A409" s="8" t="n">
        <x:v>46279.97876157407</x:v>
      </x:c>
      <x:c r="B409" s="10" t="n">
        <x:v>1789417765</x:v>
      </x:c>
      <x:c r="C409" s="3" t="str">
        <x:v>production</x:v>
      </x:c>
      <x:c r="D409" s="3" t="str">
        <x:v>ACTIVE / POSITIVE</x:v>
      </x:c>
      <x:c r="E409" s="3" t="str">
        <x:v>Broad momentum is positive; still require entry confirmation.</x:v>
      </x:c>
      <x:c r="F409" s="10" t="n">
        <x:v>42</x:v>
      </x:c>
      <x:c r="G409" s="9" t="n">
        <x:v>59.5</x:v>
      </x:c>
      <x:c r="H409" s="9" t="n">
        <x:v>23.8</x:v>
      </x:c>
      <x:c r="I409" s="9" t="n">
        <x:v>88.1</x:v>
      </x:c>
      <x:c r="J409" s="9" t="n">
        <x:v>2.56</x:v>
      </x:c>
      <x:c r="K409" s="9" t="n">
        <x:v>7.32</x:v>
      </x:c>
      <x:c r="L409" s="3" t="str">
        <x:v>Liquid non-stable USDT pairs: volume &gt;= 10M; up/down threshold +/-1.5%; active logarithmic range threshold 3.0%; quiet active breadth threshold 35%; median direction threshold +/-1.0%.</x:v>
      </x:c>
      <x:c r="M409" s="10" t="n">
        <x:v>1064</x:v>
      </x:c>
      <x:c r="N409" s="3" t="str">
        <x:v>{"recorded_at": 1789417765, "environment": "production", "regime": "ACTIVE / POSITIVE", "expectation": "Broad momentum is positive; still require entry confirmation.", "sample_size": 42, "up_pct": 59.5, "down_pct": 23.8, "active_pct": 88.1, "median_change_pct": 2.56, "median_range_pct": 7.32, "formula": "Liquid non-stable USDT pairs: volume &gt;= 10M; up/down threshold +/-1.5%; active logarithmic range threshold 3.0%; quiet active breadth threshold 35%; median direction threshold +/-1.0%."}</x:v>
      </x:c>
    </x:row>
    <x:row r="410" ht="21" customHeight="1">
      <x:c r="A410" s="8" t="n">
        <x:v>46279.98952546297</x:v>
      </x:c>
      <x:c r="B410" s="10" t="n">
        <x:v>1789418695</x:v>
      </x:c>
      <x:c r="C410" s="3" t="str">
        <x:v>production</x:v>
      </x:c>
      <x:c r="D410" s="3" t="str">
        <x:v>ACTIVE / POSITIVE</x:v>
      </x:c>
      <x:c r="E410" s="3" t="str">
        <x:v>Broad momentum is positive; still require entry confirmation.</x:v>
      </x:c>
      <x:c r="F410" s="10" t="n">
        <x:v>42</x:v>
      </x:c>
      <x:c r="G410" s="9" t="n">
        <x:v>54.8</x:v>
      </x:c>
      <x:c r="H410" s="9" t="n">
        <x:v>23.8</x:v>
      </x:c>
      <x:c r="I410" s="9" t="n">
        <x:v>88.1</x:v>
      </x:c>
      <x:c r="J410" s="9" t="n">
        <x:v>2.11</x:v>
      </x:c>
      <x:c r="K410" s="9" t="n">
        <x:v>7.34</x:v>
      </x:c>
      <x:c r="L410" s="3" t="str">
        <x:v>Liquid non-stable USDT pairs: volume &gt;= 10M; up/down threshold +/-1.5%; active logarithmic range threshold 3.0%; quiet active breadth threshold 35%; median direction threshold +/-1.0%.</x:v>
      </x:c>
      <x:c r="M410" s="10" t="n">
        <x:v>1065</x:v>
      </x:c>
      <x:c r="N410" s="3" t="str">
        <x:v>{"recorded_at": 1789418695, "environment": "production", "regime": "ACTIVE / POSITIVE", "expectation": "Broad momentum is positive; still require entry confirmation.", "sample_size": 42, "up_pct": 54.8, "down_pct": 23.8, "active_pct": 88.1, "median_change_pct": 2.11, "median_range_pct": 7.34, "formula": "Liquid non-stable USDT pairs: volume &gt;= 10M; up/down threshold +/-1.5%; active logarithmic range threshold 3.0%; quiet active breadth threshold 35%; median direction threshold +/-1.0%."}</x:v>
      </x:c>
    </x:row>
    <x:row r="411" ht="21" customHeight="1">
      <x:c r="A411" s="8" t="n">
        <x:v>46280.000231481485</x:v>
      </x:c>
      <x:c r="B411" s="10" t="n">
        <x:v>1789419620</x:v>
      </x:c>
      <x:c r="C411" s="3" t="str">
        <x:v>production</x:v>
      </x:c>
      <x:c r="D411" s="3" t="str">
        <x:v>ACTIVE / POSITIVE</x:v>
      </x:c>
      <x:c r="E411" s="3" t="str">
        <x:v>Broad momentum is positive; still require entry confirmation.</x:v>
      </x:c>
      <x:c r="F411" s="10" t="n">
        <x:v>42</x:v>
      </x:c>
      <x:c r="G411" s="9" t="n">
        <x:v>50</x:v>
      </x:c>
      <x:c r="H411" s="9" t="n">
        <x:v>23.8</x:v>
      </x:c>
      <x:c r="I411" s="9" t="n">
        <x:v>85.7</x:v>
      </x:c>
      <x:c r="J411" s="9" t="n">
        <x:v>1.62</x:v>
      </x:c>
      <x:c r="K411" s="9" t="n">
        <x:v>7.34</x:v>
      </x:c>
      <x:c r="L411" s="3" t="str">
        <x:v>Liquid non-stable USDT pairs: volume &gt;= 10M; up/down threshold +/-1.5%; active logarithmic range threshold 3.0%; quiet active breadth threshold 35%; median direction threshold +/-1.0%.</x:v>
      </x:c>
      <x:c r="M411" s="10" t="n">
        <x:v>1066</x:v>
      </x:c>
      <x:c r="N411" s="3" t="str">
        <x:v>{"recorded_at": 1789419620, "environment": "production", "regime": "ACTIVE / POSITIVE", "expectation": "Broad momentum is positive; still require entry confirmation.", "sample_size": 42, "up_pct": 50.0, "down_pct": 23.8, "active_pct": 85.7, "median_change_pct": 1.62, "median_range_pct": 7.34, "formula": "Liquid non-stable USDT pairs: volume &gt;= 10M; up/down threshold +/-1.5%; active logarithmic range threshold 3.0%; quiet active breadth threshold 35%; median direction threshold +/-1.0%."}</x:v>
      </x:c>
    </x:row>
    <x:row r="412" ht="21" customHeight="1">
      <x:c r="A412" s="8" t="n">
        <x:v>46280.011030092595</x:v>
      </x:c>
      <x:c r="B412" s="10" t="n">
        <x:v>1789420553</x:v>
      </x:c>
      <x:c r="C412" s="3" t="str">
        <x:v>production</x:v>
      </x:c>
      <x:c r="D412" s="3" t="str">
        <x:v>ACTIVE / MIXED</x:v>
      </x:c>
      <x:c r="E412" s="3" t="str">
        <x:v>Movement is sufficient, but market direction is divided.</x:v>
      </x:c>
      <x:c r="F412" s="10" t="n">
        <x:v>43</x:v>
      </x:c>
      <x:c r="G412" s="9" t="n">
        <x:v>41.9</x:v>
      </x:c>
      <x:c r="H412" s="9" t="n">
        <x:v>23.3</x:v>
      </x:c>
      <x:c r="I412" s="9" t="n">
        <x:v>86</x:v>
      </x:c>
      <x:c r="J412" s="9" t="n">
        <x:v>0.71</x:v>
      </x:c>
      <x:c r="K412" s="9" t="n">
        <x:v>7.36</x:v>
      </x:c>
      <x:c r="L412" s="3" t="str">
        <x:v>Liquid non-stable USDT pairs: volume &gt;= 10M; up/down threshold +/-1.5%; active logarithmic range threshold 3.0%; quiet active breadth threshold 35%; median direction threshold +/-1.0%.</x:v>
      </x:c>
      <x:c r="M412" s="10" t="n">
        <x:v>1067</x:v>
      </x:c>
      <x:c r="N412" s="3" t="str">
        <x:v>{"recorded_at": 1789420553, "environment": "production", "regime": "ACTIVE / MIXED", "expectation": "Movement is sufficient, but market direction is divided.", "sample_size": 43, "up_pct": 41.9, "down_pct": 23.3, "active_pct": 86.0, "median_change_pct": 0.71, "median_range_pct": 7.36, "formula": "Liquid non-stable USDT pairs: volume &gt;= 10M; up/down threshold +/-1.5%; active logarithmic range threshold 3.0%; quiet active breadth threshold 35%; median direction threshold +/-1.0%."}</x:v>
      </x:c>
    </x:row>
    <x:row r="413" ht="21" customHeight="1">
      <x:c r="A413" s="8" t="n">
        <x:v>46280.02186342593</x:v>
      </x:c>
      <x:c r="B413" s="10" t="n">
        <x:v>1789421489</x:v>
      </x:c>
      <x:c r="C413" s="3" t="str">
        <x:v>production</x:v>
      </x:c>
      <x:c r="D413" s="3" t="str">
        <x:v>ACTIVE / MIXED</x:v>
      </x:c>
      <x:c r="E413" s="3" t="str">
        <x:v>Movement is sufficient, but market direction is divided.</x:v>
      </x:c>
      <x:c r="F413" s="10" t="n">
        <x:v>43</x:v>
      </x:c>
      <x:c r="G413" s="9" t="n">
        <x:v>48.8</x:v>
      </x:c>
      <x:c r="H413" s="9" t="n">
        <x:v>23.3</x:v>
      </x:c>
      <x:c r="I413" s="9" t="n">
        <x:v>86</x:v>
      </x:c>
      <x:c r="J413" s="9" t="n">
        <x:v>0.89</x:v>
      </x:c>
      <x:c r="K413" s="9" t="n">
        <x:v>7.36</x:v>
      </x:c>
      <x:c r="L413" s="3" t="str">
        <x:v>Liquid non-stable USDT pairs: volume &gt;= 10M; up/down threshold +/-1.5%; active logarithmic range threshold 3.0%; quiet active breadth threshold 35%; median direction threshold +/-1.0%.</x:v>
      </x:c>
      <x:c r="M413" s="10" t="n">
        <x:v>1068</x:v>
      </x:c>
      <x:c r="N413" s="3" t="str">
        <x:v>{"recorded_at": 1789421489, "environment": "production", "regime": "ACTIVE / MIXED", "expectation": "Movement is sufficient, but market direction is divided.", "sample_size": 43, "up_pct": 48.8, "down_pct": 23.3, "active_pct": 86.0, "median_change_pct": 0.89, "median_range_pct": 7.36, "formula": "Liquid non-stable USDT pairs: volume &gt;= 10M; up/down threshold +/-1.5%; active logarithmic range threshold 3.0%; quiet active breadth threshold 35%; median direction threshold +/-1.0%."}</x:v>
      </x:c>
    </x:row>
    <x:row r="414" ht="21" customHeight="1">
      <x:c r="A414" s="8" t="n">
        <x:v>46280.03266203704</x:v>
      </x:c>
      <x:c r="B414" s="10" t="n">
        <x:v>1789422422</x:v>
      </x:c>
      <x:c r="C414" s="3" t="str">
        <x:v>production</x:v>
      </x:c>
      <x:c r="D414" s="3" t="str">
        <x:v>ACTIVE / MIXED</x:v>
      </x:c>
      <x:c r="E414" s="3" t="str">
        <x:v>Movement is sufficient, but market direction is divided.</x:v>
      </x:c>
      <x:c r="F414" s="10" t="n">
        <x:v>43</x:v>
      </x:c>
      <x:c r="G414" s="9" t="n">
        <x:v>44.2</x:v>
      </x:c>
      <x:c r="H414" s="9" t="n">
        <x:v>27.9</x:v>
      </x:c>
      <x:c r="I414" s="9" t="n">
        <x:v>86</x:v>
      </x:c>
      <x:c r="J414" s="9" t="n">
        <x:v>0.58</x:v>
      </x:c>
      <x:c r="K414" s="9" t="n">
        <x:v>7.36</x:v>
      </x:c>
      <x:c r="L414" s="3" t="str">
        <x:v>Liquid non-stable USDT pairs: volume &gt;= 10M; up/down threshold +/-1.5%; active logarithmic range threshold 3.0%; quiet active breadth threshold 35%; median direction threshold +/-1.0%.</x:v>
      </x:c>
      <x:c r="M414" s="10" t="n">
        <x:v>1069</x:v>
      </x:c>
      <x:c r="N414" s="3" t="str">
        <x:v>{"recorded_at": 1789422422, "environment": "production", "regime": "ACTIVE / MIXED", "expectation": "Movement is sufficient, but market direction is divided.", "sample_size": 43, "up_pct": 44.2, "down_pct": 27.9, "active_pct": 86.0, "median_change_pct": 0.58, "median_range_pct": 7.36, "formula": "Liquid non-stable USDT pairs: volume &gt;= 10M; up/down threshold +/-1.5%; active logarithmic range threshold 3.0%; quiet active breadth threshold 35%; median direction threshold +/-1.0%."}</x:v>
      </x:c>
    </x:row>
    <x:row r="415" ht="21" customHeight="1">
      <x:c r="A415" s="8" t="n">
        <x:v>46280.04311342593</x:v>
      </x:c>
      <x:c r="B415" s="10" t="n">
        <x:v>1789423325</x:v>
      </x:c>
      <x:c r="C415" s="3" t="str">
        <x:v>production</x:v>
      </x:c>
      <x:c r="D415" s="3" t="str">
        <x:v>ACTIVE / POSITIVE</x:v>
      </x:c>
      <x:c r="E415" s="3" t="str">
        <x:v>Broad momentum is positive; still require entry confirmation.</x:v>
      </x:c>
      <x:c r="F415" s="10" t="n">
        <x:v>42</x:v>
      </x:c>
      <x:c r="G415" s="9" t="n">
        <x:v>50</x:v>
      </x:c>
      <x:c r="H415" s="9" t="n">
        <x:v>23.8</x:v>
      </x:c>
      <x:c r="I415" s="9" t="n">
        <x:v>83.3</x:v>
      </x:c>
      <x:c r="J415" s="9" t="n">
        <x:v>1.6</x:v>
      </x:c>
      <x:c r="K415" s="9" t="n">
        <x:v>7.44</x:v>
      </x:c>
      <x:c r="L415" s="3" t="str">
        <x:v>Liquid non-stable USDT pairs: volume &gt;= 10M; up/down threshold +/-1.5%; active logarithmic range threshold 3.0%; quiet active breadth threshold 35%; median direction threshold +/-1.0%.</x:v>
      </x:c>
      <x:c r="M415" s="10" t="n">
        <x:v>1070</x:v>
      </x:c>
      <x:c r="N415" s="3" t="str">
        <x:v>{"recorded_at": 1789423325, "environment": "production", "regime": "ACTIVE / POSITIVE", "expectation": "Broad momentum is positive; still require entry confirmation.", "sample_size": 42, "up_pct": 50.0, "down_pct": 23.8, "active_pct": 83.3, "median_change_pct": 1.6, "median_range_pct": 7.44, "formula": "Liquid non-stable USDT pairs: volume &gt;= 10M; up/down threshold +/-1.5%; active logarithmic range threshold 3.0%; quiet active breadth threshold 35%; median direction threshold +/-1.0%."}</x:v>
      </x:c>
    </x:row>
    <x:row r="416" ht="21" customHeight="1">
      <x:c r="A416" s="8" t="n">
        <x:v>46280.05359953704</x:v>
      </x:c>
      <x:c r="B416" s="10" t="n">
        <x:v>1789424231</x:v>
      </x:c>
      <x:c r="C416" s="3" t="str">
        <x:v>production</x:v>
      </x:c>
      <x:c r="D416" s="3" t="str">
        <x:v>ACTIVE / POSITIVE</x:v>
      </x:c>
      <x:c r="E416" s="3" t="str">
        <x:v>Broad momentum is positive; still require entry confirmation.</x:v>
      </x:c>
      <x:c r="F416" s="10" t="n">
        <x:v>42</x:v>
      </x:c>
      <x:c r="G416" s="9" t="n">
        <x:v>57.1</x:v>
      </x:c>
      <x:c r="H416" s="9" t="n">
        <x:v>14.3</x:v>
      </x:c>
      <x:c r="I416" s="9" t="n">
        <x:v>83.3</x:v>
      </x:c>
      <x:c r="J416" s="9" t="n">
        <x:v>2.37</x:v>
      </x:c>
      <x:c r="K416" s="9" t="n">
        <x:v>7.44</x:v>
      </x:c>
      <x:c r="L416" s="3" t="str">
        <x:v>Liquid non-stable USDT pairs: volume &gt;= 10M; up/down threshold +/-1.5%; active logarithmic range threshold 3.0%; quiet active breadth threshold 35%; median direction threshold +/-1.0%.</x:v>
      </x:c>
      <x:c r="M416" s="10" t="n">
        <x:v>1071</x:v>
      </x:c>
      <x:c r="N416" s="3" t="str">
        <x:v>{"recorded_at": 1789424231, "environment": "production", "regime": "ACTIVE / POSITIVE", "expectation": "Broad momentum is positive; still require entry confirmation.", "sample_size": 42, "up_pct": 57.1, "down_pct": 14.3, "active_pct": 83.3, "median_change_pct": 2.37, "median_range_pct": 7.44, "formula": "Liquid non-stable USDT pairs: volume &gt;= 10M; up/down threshold +/-1.5%; active logarithmic range threshold 3.0%; quiet active breadth threshold 35%; median direction threshold +/-1.0%."}</x:v>
      </x:c>
    </x:row>
    <x:row r="417" ht="21" customHeight="1">
      <x:c r="A417" s="8" t="n">
        <x:v>46280.064363425925</x:v>
      </x:c>
      <x:c r="B417" s="10" t="n">
        <x:v>1789425161</x:v>
      </x:c>
      <x:c r="C417" s="3" t="str">
        <x:v>production</x:v>
      </x:c>
      <x:c r="D417" s="3" t="str">
        <x:v>ACTIVE / POSITIVE</x:v>
      </x:c>
      <x:c r="E417" s="3" t="str">
        <x:v>Broad momentum is positive; still require entry confirmation.</x:v>
      </x:c>
      <x:c r="F417" s="10" t="n">
        <x:v>42</x:v>
      </x:c>
      <x:c r="G417" s="9" t="n">
        <x:v>57.1</x:v>
      </x:c>
      <x:c r="H417" s="9" t="n">
        <x:v>16.7</x:v>
      </x:c>
      <x:c r="I417" s="9" t="n">
        <x:v>83.3</x:v>
      </x:c>
      <x:c r="J417" s="9" t="n">
        <x:v>2.3</x:v>
      </x:c>
      <x:c r="K417" s="9" t="n">
        <x:v>7.34</x:v>
      </x:c>
      <x:c r="L417" s="3" t="str">
        <x:v>Liquid non-stable USDT pairs: volume &gt;= 10M; up/down threshold +/-1.5%; active logarithmic range threshold 3.0%; quiet active breadth threshold 35%; median direction threshold +/-1.0%.</x:v>
      </x:c>
      <x:c r="M417" s="10" t="n">
        <x:v>1072</x:v>
      </x:c>
      <x:c r="N417" s="3" t="str">
        <x:v>{"recorded_at": 1789425161, "environment": "production", "regime": "ACTIVE / POSITIVE", "expectation": "Broad momentum is positive; still require entry confirmation.", "sample_size": 42, "up_pct": 57.1, "down_pct": 16.7, "active_pct": 83.3, "median_change_pct": 2.3, "median_range_pct": 7.34, "formula": "Liquid non-stable USDT pairs: volume &gt;= 10M; up/down threshold +/-1.5%; active logarithmic range threshold 3.0%; quiet active breadth threshold 35%; median direction threshold +/-1.0%."}</x:v>
      </x:c>
    </x:row>
    <x:row r="418" ht="21" customHeight="1">
      <x:c r="A418" s="8" t="n">
        <x:v>46280.075</x:v>
      </x:c>
      <x:c r="B418" s="10" t="n">
        <x:v>1789426080</x:v>
      </x:c>
      <x:c r="C418" s="3" t="str">
        <x:v>production</x:v>
      </x:c>
      <x:c r="D418" s="3" t="str">
        <x:v>ACTIVE / POSITIVE</x:v>
      </x:c>
      <x:c r="E418" s="3" t="str">
        <x:v>Broad momentum is positive; still require entry confirmation.</x:v>
      </x:c>
      <x:c r="F418" s="10" t="n">
        <x:v>42</x:v>
      </x:c>
      <x:c r="G418" s="9" t="n">
        <x:v>54.8</x:v>
      </x:c>
      <x:c r="H418" s="9" t="n">
        <x:v>16.7</x:v>
      </x:c>
      <x:c r="I418" s="9" t="n">
        <x:v>83.3</x:v>
      </x:c>
      <x:c r="J418" s="9" t="n">
        <x:v>2.3</x:v>
      </x:c>
      <x:c r="K418" s="9" t="n">
        <x:v>7.34</x:v>
      </x:c>
      <x:c r="L418" s="3" t="str">
        <x:v>Liquid non-stable USDT pairs: volume &gt;= 10M; up/down threshold +/-1.5%; active logarithmic range threshold 3.0%; quiet active breadth threshold 35%; median direction threshold +/-1.0%.</x:v>
      </x:c>
      <x:c r="M418" s="10" t="n">
        <x:v>1073</x:v>
      </x:c>
      <x:c r="N418" s="3" t="str">
        <x:v>{"recorded_at": 1789426080, "environment": "production", "regime": "ACTIVE / POSITIVE", "expectation": "Broad momentum is positive; still require entry confirmation.", "sample_size": 42, "up_pct": 54.8, "down_pct": 16.7, "active_pct": 83.3, "median_change_pct": 2.3, "median_range_pct": 7.34, "formula": "Liquid non-stable USDT pairs: volume &gt;= 10M; up/down threshold +/-1.5%; active logarithmic range threshold 3.0%; quiet active breadth threshold 35%; median direction threshold +/-1.0%."}</x:v>
      </x:c>
    </x:row>
    <x:row r="419" ht="21" customHeight="1">
      <x:c r="A419" s="8" t="n">
        <x:v>46280.08559027778</x:v>
      </x:c>
      <x:c r="B419" s="10" t="n">
        <x:v>1789426995</x:v>
      </x:c>
      <x:c r="C419" s="3" t="str">
        <x:v>production</x:v>
      </x:c>
      <x:c r="D419" s="3" t="str">
        <x:v>ACTIVE / POSITIVE</x:v>
      </x:c>
      <x:c r="E419" s="3" t="str">
        <x:v>Broad momentum is positive; still require entry confirmation.</x:v>
      </x:c>
      <x:c r="F419" s="10" t="n">
        <x:v>42</x:v>
      </x:c>
      <x:c r="G419" s="9" t="n">
        <x:v>52.4</x:v>
      </x:c>
      <x:c r="H419" s="9" t="n">
        <x:v>11.9</x:v>
      </x:c>
      <x:c r="I419" s="9" t="n">
        <x:v>83.3</x:v>
      </x:c>
      <x:c r="J419" s="9" t="n">
        <x:v>1.83</x:v>
      </x:c>
      <x:c r="K419" s="9" t="n">
        <x:v>7.34</x:v>
      </x:c>
      <x:c r="L419" s="3" t="str">
        <x:v>Liquid non-stable USDT pairs: volume &gt;= 10M; up/down threshold +/-1.5%; active logarithmic range threshold 3.0%; quiet active breadth threshold 35%; median direction threshold +/-1.0%.</x:v>
      </x:c>
      <x:c r="M419" s="10" t="n">
        <x:v>1074</x:v>
      </x:c>
      <x:c r="N419" s="3" t="str">
        <x:v>{"recorded_at": 1789426995, "environment": "production", "regime": "ACTIVE / POSITIVE", "expectation": "Broad momentum is positive; still require entry confirmation.", "sample_size": 42, "up_pct": 52.4, "down_pct": 11.9, "active_pct": 83.3, "median_change_pct": 1.83, "median_range_pct": 7.34, "formula": "Liquid non-stable USDT pairs: volume &gt;= 10M; up/down threshold +/-1.5%; active logarithmic range threshold 3.0%; quiet active breadth threshold 35%; median direction threshold +/-1.0%."}</x:v>
      </x:c>
    </x:row>
    <x:row r="420" ht="21" customHeight="1">
      <x:c r="A420" s="8" t="n">
        <x:v>46280.09614583333</x:v>
      </x:c>
      <x:c r="B420" s="10" t="n">
        <x:v>1789427907</x:v>
      </x:c>
      <x:c r="C420" s="3" t="str">
        <x:v>production</x:v>
      </x:c>
      <x:c r="D420" s="3" t="str">
        <x:v>ACTIVE / POSITIVE</x:v>
      </x:c>
      <x:c r="E420" s="3" t="str">
        <x:v>Broad momentum is positive; still require entry confirmation.</x:v>
      </x:c>
      <x:c r="F420" s="10" t="n">
        <x:v>43</x:v>
      </x:c>
      <x:c r="G420" s="9" t="n">
        <x:v>55.8</x:v>
      </x:c>
      <x:c r="H420" s="9" t="n">
        <x:v>14</x:v>
      </x:c>
      <x:c r="I420" s="9" t="n">
        <x:v>83.7</x:v>
      </x:c>
      <x:c r="J420" s="9" t="n">
        <x:v>2.2</x:v>
      </x:c>
      <x:c r="K420" s="9" t="n">
        <x:v>7.36</x:v>
      </x:c>
      <x:c r="L420" s="3" t="str">
        <x:v>Liquid non-stable USDT pairs: volume &gt;= 10M; up/down threshold +/-1.5%; active logarithmic range threshold 3.0%; quiet active breadth threshold 35%; median direction threshold +/-1.0%.</x:v>
      </x:c>
      <x:c r="M420" s="10" t="n">
        <x:v>1075</x:v>
      </x:c>
      <x:c r="N420" s="3" t="str">
        <x:v>{"recorded_at": 1789427907, "environment": "production", "regime": "ACTIVE / POSITIVE", "expectation": "Broad momentum is positive; still require entry confirmation.", "sample_size": 43, "up_pct": 55.8, "down_pct": 14.0, "active_pct": 83.7, "median_change_pct": 2.2, "median_range_pct": 7.36, "formula": "Liquid non-stable USDT pairs: volume &gt;= 10M; up/down threshold +/-1.5%; active logarithmic range threshold 3.0%; quiet active breadth threshold 35%; median direction threshold +/-1.0%."}</x:v>
      </x:c>
    </x:row>
    <x:row r="421" ht="21" customHeight="1">
      <x:c r="A421" s="8" t="n">
        <x:v>46280.10680555556</x:v>
      </x:c>
      <x:c r="B421" s="10" t="n">
        <x:v>1789428828</x:v>
      </x:c>
      <x:c r="C421" s="3" t="str">
        <x:v>production</x:v>
      </x:c>
      <x:c r="D421" s="3" t="str">
        <x:v>ACTIVE / POSITIVE</x:v>
      </x:c>
      <x:c r="E421" s="3" t="str">
        <x:v>Broad momentum is positive; still require entry confirmation.</x:v>
      </x:c>
      <x:c r="F421" s="10" t="n">
        <x:v>43</x:v>
      </x:c>
      <x:c r="G421" s="9" t="n">
        <x:v>53.5</x:v>
      </x:c>
      <x:c r="H421" s="9" t="n">
        <x:v>14</x:v>
      </x:c>
      <x:c r="I421" s="9" t="n">
        <x:v>83.7</x:v>
      </x:c>
      <x:c r="J421" s="9" t="n">
        <x:v>1.89</x:v>
      </x:c>
      <x:c r="K421" s="9" t="n">
        <x:v>7.36</x:v>
      </x:c>
      <x:c r="L421" s="3" t="str">
        <x:v>Liquid non-stable USDT pairs: volume &gt;= 10M; up/down threshold +/-1.5%; active logarithmic range threshold 3.0%; quiet active breadth threshold 35%; median direction threshold +/-1.0%.</x:v>
      </x:c>
      <x:c r="M421" s="10" t="n">
        <x:v>1076</x:v>
      </x:c>
      <x:c r="N421" s="3" t="str">
        <x:v>{"recorded_at": 1789428828, "environment": "production", "regime": "ACTIVE / POSITIVE", "expectation": "Broad momentum is positive; still require entry confirmation.", "sample_size": 43, "up_pct": 53.5, "down_pct": 14.0, "active_pct": 83.7, "median_change_pct": 1.89, "median_range_pct": 7.36, "formula": "Liquid non-stable USDT pairs: volume &gt;= 10M; up/down threshold +/-1.5%; active logarithmic range threshold 3.0%; quiet active breadth threshold 35%; median direction threshold +/-1.0%."}</x:v>
      </x:c>
    </x:row>
    <x:row r="422" ht="21" customHeight="1">
      <x:c r="A422" s="8" t="n">
        <x:v>46280.11770833333</x:v>
      </x:c>
      <x:c r="B422" s="10" t="n">
        <x:v>1789429770</x:v>
      </x:c>
      <x:c r="C422" s="3" t="str">
        <x:v>production</x:v>
      </x:c>
      <x:c r="D422" s="3" t="str">
        <x:v>ACTIVE / POSITIVE</x:v>
      </x:c>
      <x:c r="E422" s="3" t="str">
        <x:v>Broad momentum is positive; still require entry confirmation.</x:v>
      </x:c>
      <x:c r="F422" s="10" t="n">
        <x:v>43</x:v>
      </x:c>
      <x:c r="G422" s="9" t="n">
        <x:v>55.8</x:v>
      </x:c>
      <x:c r="H422" s="9" t="n">
        <x:v>14</x:v>
      </x:c>
      <x:c r="I422" s="9" t="n">
        <x:v>83.7</x:v>
      </x:c>
      <x:c r="J422" s="9" t="n">
        <x:v>1.93</x:v>
      </x:c>
      <x:c r="K422" s="9" t="n">
        <x:v>7.36</x:v>
      </x:c>
      <x:c r="L422" s="3" t="str">
        <x:v>Liquid non-stable USDT pairs: volume &gt;= 10M; up/down threshold +/-1.5%; active logarithmic range threshold 3.0%; quiet active breadth threshold 35%; median direction threshold +/-1.0%.</x:v>
      </x:c>
      <x:c r="M422" s="10" t="n">
        <x:v>1077</x:v>
      </x:c>
      <x:c r="N422" s="3" t="str">
        <x:v>{"recorded_at": 1789429770, "environment": "production", "regime": "ACTIVE / POSITIVE", "expectation": "Broad momentum is positive; still require entry confirmation.", "sample_size": 43, "up_pct": 55.8, "down_pct": 14.0, "active_pct": 83.7, "median_change_pct": 1.93, "median_range_pct": 7.36, "formula": "Liquid non-stable USDT pairs: volume &gt;= 10M; up/down threshold +/-1.5%; active logarithmic range threshold 3.0%; quiet active breadth threshold 35%; median direction threshold +/-1.0%."}</x:v>
      </x:c>
    </x:row>
    <x:row r="423" ht="21" customHeight="1">
      <x:c r="A423" s="8" t="n">
        <x:v>46280.12818287037</x:v>
      </x:c>
      <x:c r="B423" s="10" t="n">
        <x:v>1789430675</x:v>
      </x:c>
      <x:c r="C423" s="3" t="str">
        <x:v>production</x:v>
      </x:c>
      <x:c r="D423" s="3" t="str">
        <x:v>ACTIVE / POSITIVE</x:v>
      </x:c>
      <x:c r="E423" s="3" t="str">
        <x:v>Broad momentum is positive; still require entry confirmation.</x:v>
      </x:c>
      <x:c r="F423" s="10" t="n">
        <x:v>43</x:v>
      </x:c>
      <x:c r="G423" s="9" t="n">
        <x:v>58.1</x:v>
      </x:c>
      <x:c r="H423" s="9" t="n">
        <x:v>16.3</x:v>
      </x:c>
      <x:c r="I423" s="9" t="n">
        <x:v>83.7</x:v>
      </x:c>
      <x:c r="J423" s="9" t="n">
        <x:v>2.51</x:v>
      </x:c>
      <x:c r="K423" s="9" t="n">
        <x:v>7.36</x:v>
      </x:c>
      <x:c r="L423" s="3" t="str">
        <x:v>Liquid non-stable USDT pairs: volume &gt;= 10M; up/down threshold +/-1.5%; active logarithmic range threshold 3.0%; quiet active breadth threshold 35%; median direction threshold +/-1.0%.</x:v>
      </x:c>
      <x:c r="M423" s="10" t="n">
        <x:v>1078</x:v>
      </x:c>
      <x:c r="N423" s="3" t="str">
        <x:v>{"recorded_at": 1789430675, "environment": "production", "regime": "ACTIVE / POSITIVE", "expectation": "Broad momentum is positive; still require entry confirmation.", "sample_size": 43, "up_pct": 58.1, "down_pct": 16.3, "active_pct": 83.7, "median_change_pct": 2.51, "median_range_pct": 7.36, "formula": "Liquid non-stable USDT pairs: volume &gt;= 10M; up/down threshold +/-1.5%; active logarithmic range threshold 3.0%; quiet active breadth threshold 35%; median direction threshold +/-1.0%."}</x:v>
      </x:c>
    </x:row>
    <x:row r="424" ht="21" customHeight="1">
      <x:c r="A424" s="8" t="n">
        <x:v>46280.13900462963</x:v>
      </x:c>
      <x:c r="B424" s="10" t="n">
        <x:v>1789431610</x:v>
      </x:c>
      <x:c r="C424" s="3" t="str">
        <x:v>production</x:v>
      </x:c>
      <x:c r="D424" s="3" t="str">
        <x:v>ACTIVE / POSITIVE</x:v>
      </x:c>
      <x:c r="E424" s="3" t="str">
        <x:v>Broad momentum is positive; still require entry confirmation.</x:v>
      </x:c>
      <x:c r="F424" s="10" t="n">
        <x:v>43</x:v>
      </x:c>
      <x:c r="G424" s="9" t="n">
        <x:v>53.5</x:v>
      </x:c>
      <x:c r="H424" s="9" t="n">
        <x:v>16.3</x:v>
      </x:c>
      <x:c r="I424" s="9" t="n">
        <x:v>86</x:v>
      </x:c>
      <x:c r="J424" s="9" t="n">
        <x:v>1.81</x:v>
      </x:c>
      <x:c r="K424" s="9" t="n">
        <x:v>7.36</x:v>
      </x:c>
      <x:c r="L424" s="3" t="str">
        <x:v>Liquid non-stable USDT pairs: volume &gt;= 10M; up/down threshold +/-1.5%; active logarithmic range threshold 3.0%; quiet active breadth threshold 35%; median direction threshold +/-1.0%.</x:v>
      </x:c>
      <x:c r="M424" s="10" t="n">
        <x:v>1079</x:v>
      </x:c>
      <x:c r="N424" s="3" t="str">
        <x:v>{"recorded_at": 1789431610, "environment": "production", "regime": "ACTIVE / POSITIVE", "expectation": "Broad momentum is positive; still require entry confirmation.", "sample_size": 43, "up_pct": 53.5, "down_pct": 16.3, "active_pct": 86.0, "median_change_pct": 1.81, "median_range_pct": 7.36, "formula": "Liquid non-stable USDT pairs: volume &gt;= 10M; up/down threshold +/-1.5%; active logarithmic range threshold 3.0%; quiet active breadth threshold 35%; median direction threshold +/-1.0%."}</x:v>
      </x:c>
    </x:row>
    <x:row r="425" ht="21" customHeight="1">
      <x:c r="A425" s="8" t="n">
        <x:v>46280.149826388886</x:v>
      </x:c>
      <x:c r="B425" s="10" t="n">
        <x:v>1789432545</x:v>
      </x:c>
      <x:c r="C425" s="3" t="str">
        <x:v>production</x:v>
      </x:c>
      <x:c r="D425" s="3" t="str">
        <x:v>ACTIVE / POSITIVE</x:v>
      </x:c>
      <x:c r="E425" s="3" t="str">
        <x:v>Broad momentum is positive; still require entry confirmation.</x:v>
      </x:c>
      <x:c r="F425" s="10" t="n">
        <x:v>43</x:v>
      </x:c>
      <x:c r="G425" s="9" t="n">
        <x:v>58.1</x:v>
      </x:c>
      <x:c r="H425" s="9" t="n">
        <x:v>16.3</x:v>
      </x:c>
      <x:c r="I425" s="9" t="n">
        <x:v>86</x:v>
      </x:c>
      <x:c r="J425" s="9" t="n">
        <x:v>2.48</x:v>
      </x:c>
      <x:c r="K425" s="9" t="n">
        <x:v>6.84</x:v>
      </x:c>
      <x:c r="L425" s="3" t="str">
        <x:v>Liquid non-stable USDT pairs: volume &gt;= 10M; up/down threshold +/-1.5%; active logarithmic range threshold 3.0%; quiet active breadth threshold 35%; median direction threshold +/-1.0%.</x:v>
      </x:c>
      <x:c r="M425" s="10" t="n">
        <x:v>1080</x:v>
      </x:c>
      <x:c r="N425" s="3" t="str">
        <x:v>{"recorded_at": 1789432545, "environment": "production", "regime": "ACTIVE / POSITIVE", "expectation": "Broad momentum is positive; still require entry confirmation.", "sample_size": 43, "up_pct": 58.1, "down_pct": 16.3, "active_pct": 86.0, "median_change_pct": 2.48, "median_range_pct": 6.84, "formula": "Liquid non-stable USDT pairs: volume &gt;= 10M; up/down threshold +/-1.5%; active logarithmic range threshold 3.0%; quiet active breadth threshold 35%; median direction threshold +/-1.0%."}</x:v>
      </x:c>
    </x:row>
    <x:row r="426" ht="21" customHeight="1">
      <x:c r="A426" s="8" t="n">
        <x:v>46280.16064814815</x:v>
      </x:c>
      <x:c r="B426" s="10" t="n">
        <x:v>1789433480</x:v>
      </x:c>
      <x:c r="C426" s="3" t="str">
        <x:v>production</x:v>
      </x:c>
      <x:c r="D426" s="3" t="str">
        <x:v>ACTIVE / POSITIVE</x:v>
      </x:c>
      <x:c r="E426" s="3" t="str">
        <x:v>Broad momentum is positive; still require entry confirmation.</x:v>
      </x:c>
      <x:c r="F426" s="10" t="n">
        <x:v>43</x:v>
      </x:c>
      <x:c r="G426" s="9" t="n">
        <x:v>55.8</x:v>
      </x:c>
      <x:c r="H426" s="9" t="n">
        <x:v>18.6</x:v>
      </x:c>
      <x:c r="I426" s="9" t="n">
        <x:v>86</x:v>
      </x:c>
      <x:c r="J426" s="9" t="n">
        <x:v>1.86</x:v>
      </x:c>
      <x:c r="K426" s="9" t="n">
        <x:v>6.92</x:v>
      </x:c>
      <x:c r="L426" s="3" t="str">
        <x:v>Liquid non-stable USDT pairs: volume &gt;= 10M; up/down threshold +/-1.5%; active logarithmic range threshold 3.0%; quiet active breadth threshold 35%; median direction threshold +/-1.0%.</x:v>
      </x:c>
      <x:c r="M426" s="10" t="n">
        <x:v>1081</x:v>
      </x:c>
      <x:c r="N426" s="3" t="str">
        <x:v>{"recorded_at": 1789433480, "environment": "production", "regime": "ACTIVE / POSITIVE", "expectation": "Broad momentum is positive; still require entry confirmation.", "sample_size": 43, "up_pct": 55.8, "down_pct": 18.6, "active_pct": 86.0, "median_change_pct": 1.86, "median_range_pct": 6.92, "formula": "Liquid non-stable USDT pairs: volume &gt;= 10M; up/down threshold +/-1.5%; active logarithmic range threshold 3.0%; quiet active breadth threshold 35%; median direction threshold +/-1.0%."}</x:v>
      </x:c>
    </x:row>
    <x:row r="427" ht="21" customHeight="1">
      <x:c r="A427" s="8" t="n">
        <x:v>46280.171122685184</x:v>
      </x:c>
      <x:c r="B427" s="10" t="n">
        <x:v>1789434385</x:v>
      </x:c>
      <x:c r="C427" s="3" t="str">
        <x:v>production</x:v>
      </x:c>
      <x:c r="D427" s="3" t="str">
        <x:v>ACTIVE / POSITIVE</x:v>
      </x:c>
      <x:c r="E427" s="3" t="str">
        <x:v>Broad momentum is positive; still require entry confirmation.</x:v>
      </x:c>
      <x:c r="F427" s="10" t="n">
        <x:v>43</x:v>
      </x:c>
      <x:c r="G427" s="9" t="n">
        <x:v>55.8</x:v>
      </x:c>
      <x:c r="H427" s="9" t="n">
        <x:v>16.3</x:v>
      </x:c>
      <x:c r="I427" s="9" t="n">
        <x:v>86</x:v>
      </x:c>
      <x:c r="J427" s="9" t="n">
        <x:v>2.06</x:v>
      </x:c>
      <x:c r="K427" s="9" t="n">
        <x:v>6.92</x:v>
      </x:c>
      <x:c r="L427" s="3" t="str">
        <x:v>Liquid non-stable USDT pairs: volume &gt;= 10M; up/down threshold +/-1.5%; active logarithmic range threshold 3.0%; quiet active breadth threshold 35%; median direction threshold +/-1.0%.</x:v>
      </x:c>
      <x:c r="M427" s="10" t="n">
        <x:v>1082</x:v>
      </x:c>
      <x:c r="N427" s="3" t="str">
        <x:v>{"recorded_at": 1789434385, "environment": "production", "regime": "ACTIVE / POSITIVE", "expectation": "Broad momentum is positive; still require entry confirmation.", "sample_size": 43, "up_pct": 55.8, "down_pct": 16.3, "active_pct": 86.0, "median_change_pct": 2.06, "median_range_pct": 6.92, "formula": "Liquid non-stable USDT pairs: volume &gt;= 10M; up/down threshold +/-1.5%; active logarithmic range threshold 3.0%; quiet active breadth threshold 35%; median direction threshold +/-1.0%."}</x:v>
      </x:c>
    </x:row>
    <x:row r="428" ht="21" customHeight="1">
      <x:c r="A428" s="8" t="n">
        <x:v>46280.18174768519</x:v>
      </x:c>
      <x:c r="B428" s="10" t="n">
        <x:v>1789435303</x:v>
      </x:c>
      <x:c r="C428" s="3" t="str">
        <x:v>production</x:v>
      </x:c>
      <x:c r="D428" s="3" t="str">
        <x:v>ACTIVE / POSITIVE</x:v>
      </x:c>
      <x:c r="E428" s="3" t="str">
        <x:v>Broad momentum is positive; still require entry confirmation.</x:v>
      </x:c>
      <x:c r="F428" s="10" t="n">
        <x:v>43</x:v>
      </x:c>
      <x:c r="G428" s="9" t="n">
        <x:v>55.8</x:v>
      </x:c>
      <x:c r="H428" s="9" t="n">
        <x:v>18.6</x:v>
      </x:c>
      <x:c r="I428" s="9" t="n">
        <x:v>86</x:v>
      </x:c>
      <x:c r="J428" s="9" t="n">
        <x:v>1.68</x:v>
      </x:c>
      <x:c r="K428" s="9" t="n">
        <x:v>6.92</x:v>
      </x:c>
      <x:c r="L428" s="3" t="str">
        <x:v>Liquid non-stable USDT pairs: volume &gt;= 10M; up/down threshold +/-1.5%; active logarithmic range threshold 3.0%; quiet active breadth threshold 35%; median direction threshold +/-1.0%.</x:v>
      </x:c>
      <x:c r="M428" s="10" t="n">
        <x:v>1083</x:v>
      </x:c>
      <x:c r="N428" s="3" t="str">
        <x:v>{"recorded_at": 1789435303, "environment": "production", "regime": "ACTIVE / POSITIVE", "expectation": "Broad momentum is positive; still require entry confirmation.", "sample_size": 43, "up_pct": 55.8, "down_pct": 18.6, "active_pct": 86.0, "median_change_pct": 1.68, "median_range_pct": 6.92, "formula": "Liquid non-stable USDT pairs: volume &gt;= 10M; up/down threshold +/-1.5%; active logarithmic range threshold 3.0%; quiet active breadth threshold 35%; median direction threshold +/-1.0%."}</x:v>
      </x:c>
    </x:row>
    <x:row r="429" ht="21" customHeight="1">
      <x:c r="A429" s="8" t="n">
        <x:v>46280.1925</x:v>
      </x:c>
      <x:c r="B429" s="10" t="n">
        <x:v>1789436232</x:v>
      </x:c>
      <x:c r="C429" s="3" t="str">
        <x:v>production</x:v>
      </x:c>
      <x:c r="D429" s="3" t="str">
        <x:v>ACTIVE / POSITIVE</x:v>
      </x:c>
      <x:c r="E429" s="3" t="str">
        <x:v>Broad momentum is positive; still require entry confirmation.</x:v>
      </x:c>
      <x:c r="F429" s="10" t="n">
        <x:v>43</x:v>
      </x:c>
      <x:c r="G429" s="9" t="n">
        <x:v>48.8</x:v>
      </x:c>
      <x:c r="H429" s="9" t="n">
        <x:v>14</x:v>
      </x:c>
      <x:c r="I429" s="9" t="n">
        <x:v>86</x:v>
      </x:c>
      <x:c r="J429" s="9" t="n">
        <x:v>1.48</x:v>
      </x:c>
      <x:c r="K429" s="9" t="n">
        <x:v>6.62</x:v>
      </x:c>
      <x:c r="L429" s="3" t="str">
        <x:v>Liquid non-stable USDT pairs: volume &gt;= 10M; up/down threshold +/-1.5%; active logarithmic range threshold 3.0%; quiet active breadth threshold 35%; median direction threshold +/-1.0%.</x:v>
      </x:c>
      <x:c r="M429" s="10" t="n">
        <x:v>1084</x:v>
      </x:c>
      <x:c r="N429" s="3" t="str">
        <x:v>{"recorded_at": 1789436232, "environment": "production", "regime": "ACTIVE / POSITIVE", "expectation": "Broad momentum is positive; still require entry confirmation.", "sample_size": 43, "up_pct": 48.8, "down_pct": 14.0, "active_pct": 86.0, "median_change_pct": 1.48, "median_range_pct": 6.62, "formula": "Liquid non-stable USDT pairs: volume &gt;= 10M; up/down threshold +/-1.5%; active logarithmic range threshold 3.0%; quiet active breadth threshold 35%; median direction threshold +/-1.0%."}</x:v>
      </x:c>
    </x:row>
    <x:row r="430" ht="21" customHeight="1">
      <x:c r="A430" s="8" t="n">
        <x:v>46280.20328703704</x:v>
      </x:c>
      <x:c r="B430" s="10" t="n">
        <x:v>1789437164</x:v>
      </x:c>
      <x:c r="C430" s="3" t="str">
        <x:v>production</x:v>
      </x:c>
      <x:c r="D430" s="3" t="str">
        <x:v>ACTIVE / POSITIVE</x:v>
      </x:c>
      <x:c r="E430" s="3" t="str">
        <x:v>Broad momentum is positive; still require entry confirmation.</x:v>
      </x:c>
      <x:c r="F430" s="10" t="n">
        <x:v>43</x:v>
      </x:c>
      <x:c r="G430" s="9" t="n">
        <x:v>48.8</x:v>
      </x:c>
      <x:c r="H430" s="9" t="n">
        <x:v>14</x:v>
      </x:c>
      <x:c r="I430" s="9" t="n">
        <x:v>86</x:v>
      </x:c>
      <x:c r="J430" s="9" t="n">
        <x:v>1.46</x:v>
      </x:c>
      <x:c r="K430" s="9" t="n">
        <x:v>6.32</x:v>
      </x:c>
      <x:c r="L430" s="3" t="str">
        <x:v>Liquid non-stable USDT pairs: volume &gt;= 10M; up/down threshold +/-1.5%; active logarithmic range threshold 3.0%; quiet active breadth threshold 35%; median direction threshold +/-1.0%.</x:v>
      </x:c>
      <x:c r="M430" s="10" t="n">
        <x:v>1085</x:v>
      </x:c>
      <x:c r="N430" s="3" t="str">
        <x:v>{"recorded_at": 1789437164, "environment": "production", "regime": "ACTIVE / POSITIVE", "expectation": "Broad momentum is positive; still require entry confirmation.", "sample_size": 43, "up_pct": 48.8, "down_pct": 14.0, "active_pct": 86.0, "median_change_pct": 1.46, "median_range_pct": 6.32, "formula": "Liquid non-stable USDT pairs: volume &gt;= 10M; up/down threshold +/-1.5%; active logarithmic range threshold 3.0%; quiet active breadth threshold 35%; median direction threshold +/-1.0%."}</x:v>
      </x:c>
    </x:row>
    <x:row r="431" ht="21" customHeight="1">
      <x:c r="A431" s="8" t="n">
        <x:v>46280.21372685185</x:v>
      </x:c>
      <x:c r="B431" s="10" t="n">
        <x:v>1789438066</x:v>
      </x:c>
      <x:c r="C431" s="3" t="str">
        <x:v>production</x:v>
      </x:c>
      <x:c r="D431" s="3" t="str">
        <x:v>ACTIVE / MIXED</x:v>
      </x:c>
      <x:c r="E431" s="3" t="str">
        <x:v>Movement is sufficient, but market direction is divided.</x:v>
      </x:c>
      <x:c r="F431" s="10" t="n">
        <x:v>43</x:v>
      </x:c>
      <x:c r="G431" s="9" t="n">
        <x:v>37.2</x:v>
      </x:c>
      <x:c r="H431" s="9" t="n">
        <x:v>18.6</x:v>
      </x:c>
      <x:c r="I431" s="9" t="n">
        <x:v>86</x:v>
      </x:c>
      <x:c r="J431" s="9" t="n">
        <x:v>0.77</x:v>
      </x:c>
      <x:c r="K431" s="9" t="n">
        <x:v>6.18</x:v>
      </x:c>
      <x:c r="L431" s="3" t="str">
        <x:v>Liquid non-stable USDT pairs: volume &gt;= 10M; up/down threshold +/-1.5%; active logarithmic range threshold 3.0%; quiet active breadth threshold 35%; median direction threshold +/-1.0%.</x:v>
      </x:c>
      <x:c r="M431" s="10" t="n">
        <x:v>1086</x:v>
      </x:c>
      <x:c r="N431" s="3" t="str">
        <x:v>{"recorded_at": 1789438066, "environment": "production", "regime": "ACTIVE / MIXED", "expectation": "Movement is sufficient, but market direction is divided.", "sample_size": 43, "up_pct": 37.2, "down_pct": 18.6, "active_pct": 86.0, "median_change_pct": 0.77, "median_range_pct": 6.18, "formula": "Liquid non-stable USDT pairs: volume &gt;= 10M; up/down threshold +/-1.5%; active logarithmic range threshold 3.0%; quiet active breadth threshold 35%; median direction threshold +/-1.0%."}</x:v>
      </x:c>
    </x:row>
    <x:row r="432" ht="21" customHeight="1">
      <x:c r="A432" s="8" t="n">
        <x:v>46280.22431712963</x:v>
      </x:c>
      <x:c r="B432" s="10" t="n">
        <x:v>1789438981</x:v>
      </x:c>
      <x:c r="C432" s="3" t="str">
        <x:v>production</x:v>
      </x:c>
      <x:c r="D432" s="3" t="str">
        <x:v>ACTIVE / MIXED</x:v>
      </x:c>
      <x:c r="E432" s="3" t="str">
        <x:v>Movement is sufficient, but market direction is divided.</x:v>
      </x:c>
      <x:c r="F432" s="10" t="n">
        <x:v>43</x:v>
      </x:c>
      <x:c r="G432" s="9" t="n">
        <x:v>37.2</x:v>
      </x:c>
      <x:c r="H432" s="9" t="n">
        <x:v>20.9</x:v>
      </x:c>
      <x:c r="I432" s="9" t="n">
        <x:v>83.7</x:v>
      </x:c>
      <x:c r="J432" s="9" t="n">
        <x:v>0.57</x:v>
      </x:c>
      <x:c r="K432" s="9" t="n">
        <x:v>6.18</x:v>
      </x:c>
      <x:c r="L432" s="3" t="str">
        <x:v>Liquid non-stable USDT pairs: volume &gt;= 10M; up/down threshold +/-1.5%; active logarithmic range threshold 3.0%; quiet active breadth threshold 35%; median direction threshold +/-1.0%.</x:v>
      </x:c>
      <x:c r="M432" s="10" t="n">
        <x:v>1087</x:v>
      </x:c>
      <x:c r="N432" s="3" t="str">
        <x:v>{"recorded_at": 1789438981, "environment": "production", "regime": "ACTIVE / MIXED", "expectation": "Movement is sufficient, but market direction is divided.", "sample_size": 43, "up_pct": 37.2, "down_pct": 20.9, "active_pct": 83.7, "median_change_pct": 0.57, "median_range_pct": 6.18, "formula": "Liquid non-stable USDT pairs: volume &gt;= 10M; up/down threshold +/-1.5%; active logarithmic range threshold 3.0%; quiet active breadth threshold 35%; median direction threshold +/-1.0%."}</x:v>
      </x:c>
    </x:row>
    <x:row r="433" ht="21" customHeight="1">
      <x:c r="A433" s="8" t="n">
        <x:v>46280.234814814816</x:v>
      </x:c>
      <x:c r="B433" s="10" t="n">
        <x:v>1789439888</x:v>
      </x:c>
      <x:c r="C433" s="3" t="str">
        <x:v>production</x:v>
      </x:c>
      <x:c r="D433" s="3" t="str">
        <x:v>ACTIVE / MIXED</x:v>
      </x:c>
      <x:c r="E433" s="3" t="str">
        <x:v>Movement is sufficient, but market direction is divided.</x:v>
      </x:c>
      <x:c r="F433" s="10" t="n">
        <x:v>43</x:v>
      </x:c>
      <x:c r="G433" s="9" t="n">
        <x:v>25.6</x:v>
      </x:c>
      <x:c r="H433" s="9" t="n">
        <x:v>25.6</x:v>
      </x:c>
      <x:c r="I433" s="9" t="n">
        <x:v>83.7</x:v>
      </x:c>
      <x:c r="J433" s="9" t="n">
        <x:v>0.36</x:v>
      </x:c>
      <x:c r="K433" s="9" t="n">
        <x:v>6.18</x:v>
      </x:c>
      <x:c r="L433" s="3" t="str">
        <x:v>Liquid non-stable USDT pairs: volume &gt;= 10M; up/down threshold +/-1.5%; active logarithmic range threshold 3.0%; quiet active breadth threshold 35%; median direction threshold +/-1.0%.</x:v>
      </x:c>
      <x:c r="M433" s="10" t="n">
        <x:v>1088</x:v>
      </x:c>
      <x:c r="N433" s="3" t="str">
        <x:v>{"recorded_at": 1789439888, "environment": "production", "regime": "ACTIVE / MIXED", "expectation": "Movement is sufficient, but market direction is divided.", "sample_size": 43, "up_pct": 25.6, "down_pct": 25.6, "active_pct": 83.7, "median_change_pct": 0.36, "median_range_pct": 6.18, "formula": "Liquid non-stable USDT pairs: volume &gt;= 10M; up/down threshold +/-1.5%; active logarithmic range threshold 3.0%; quiet active breadth threshold 35%; median direction threshold +/-1.0%."}</x:v>
      </x:c>
    </x:row>
    <x:row r="434" ht="21" customHeight="1">
      <x:c r="A434" s="8" t="n">
        <x:v>46280.24563657407</x:v>
      </x:c>
      <x:c r="B434" s="10" t="n">
        <x:v>1789440823</x:v>
      </x:c>
      <x:c r="C434" s="3" t="str">
        <x:v>production</x:v>
      </x:c>
      <x:c r="D434" s="3" t="str">
        <x:v>ACTIVE / MIXED</x:v>
      </x:c>
      <x:c r="E434" s="3" t="str">
        <x:v>Movement is sufficient, but market direction is divided.</x:v>
      </x:c>
      <x:c r="F434" s="10" t="n">
        <x:v>43</x:v>
      </x:c>
      <x:c r="G434" s="9" t="n">
        <x:v>27.9</x:v>
      </x:c>
      <x:c r="H434" s="9" t="n">
        <x:v>23.3</x:v>
      </x:c>
      <x:c r="I434" s="9" t="n">
        <x:v>83.7</x:v>
      </x:c>
      <x:c r="J434" s="9" t="n">
        <x:v>0.05</x:v>
      </x:c>
      <x:c r="K434" s="9" t="n">
        <x:v>6.18</x:v>
      </x:c>
      <x:c r="L434" s="3" t="str">
        <x:v>Liquid non-stable USDT pairs: volume &gt;= 10M; up/down threshold +/-1.5%; active logarithmic range threshold 3.0%; quiet active breadth threshold 35%; median direction threshold +/-1.0%.</x:v>
      </x:c>
      <x:c r="M434" s="10" t="n">
        <x:v>1089</x:v>
      </x:c>
      <x:c r="N434" s="3" t="str">
        <x:v>{"recorded_at": 1789440823, "environment": "production", "regime": "ACTIVE / MIXED", "expectation": "Movement is sufficient, but market direction is divided.", "sample_size": 43, "up_pct": 27.9, "down_pct": 23.3, "active_pct": 83.7, "median_change_pct": 0.05, "median_range_pct": 6.18, "formula": "Liquid non-stable USDT pairs: volume &gt;= 10M; up/down threshold +/-1.5%; active logarithmic range threshold 3.0%; quiet active breadth threshold 35%; median direction threshold +/-1.0%."}</x:v>
      </x:c>
    </x:row>
    <x:row r="435" ht="21" customHeight="1">
      <x:c r="A435" s="8" t="n">
        <x:v>46280.25611111111</x:v>
      </x:c>
      <x:c r="B435" s="10" t="n">
        <x:v>1789441728</x:v>
      </x:c>
      <x:c r="C435" s="3" t="str">
        <x:v>production</x:v>
      </x:c>
      <x:c r="D435" s="3" t="str">
        <x:v>ACTIVE / MIXED</x:v>
      </x:c>
      <x:c r="E435" s="3" t="str">
        <x:v>Movement is sufficient, but market direction is divided.</x:v>
      </x:c>
      <x:c r="F435" s="10" t="n">
        <x:v>43</x:v>
      </x:c>
      <x:c r="G435" s="9" t="n">
        <x:v>23.3</x:v>
      </x:c>
      <x:c r="H435" s="9" t="n">
        <x:v>27.9</x:v>
      </x:c>
      <x:c r="I435" s="9" t="n">
        <x:v>83.7</x:v>
      </x:c>
      <x:c r="J435" s="9" t="n">
        <x:v>0.04</x:v>
      </x:c>
      <x:c r="K435" s="9" t="n">
        <x:v>6.18</x:v>
      </x:c>
      <x:c r="L435" s="3" t="str">
        <x:v>Liquid non-stable USDT pairs: volume &gt;= 10M; up/down threshold +/-1.5%; active logarithmic range threshold 3.0%; quiet active breadth threshold 35%; median direction threshold +/-1.0%.</x:v>
      </x:c>
      <x:c r="M435" s="10" t="n">
        <x:v>1090</x:v>
      </x:c>
      <x:c r="N435" s="3" t="str">
        <x:v>{"recorded_at": 1789441728, "environment": "production", "regime": "ACTIVE / MIXED", "expectation": "Movement is sufficient, but market direction is divided.", "sample_size": 43, "up_pct": 23.3, "down_pct": 27.9, "active_pct": 83.7, "median_change_pct": 0.04, "median_range_pct": 6.18, "formula": "Liquid non-stable USDT pairs: volume &gt;= 10M; up/down threshold +/-1.5%; active logarithmic range threshold 3.0%; quiet active breadth threshold 35%; median direction threshold +/-1.0%."}</x:v>
      </x:c>
    </x:row>
    <x:row r="436" ht="21" customHeight="1">
      <x:c r="A436" s="8" t="n">
        <x:v>46280.26681712963</x:v>
      </x:c>
      <x:c r="B436" s="10" t="n">
        <x:v>1789442653</x:v>
      </x:c>
      <x:c r="C436" s="3" t="str">
        <x:v>production</x:v>
      </x:c>
      <x:c r="D436" s="3" t="str">
        <x:v>ACTIVE / MIXED</x:v>
      </x:c>
      <x:c r="E436" s="3" t="str">
        <x:v>Movement is sufficient, but market direction is divided.</x:v>
      </x:c>
      <x:c r="F436" s="10" t="n">
        <x:v>43</x:v>
      </x:c>
      <x:c r="G436" s="9" t="n">
        <x:v>16.3</x:v>
      </x:c>
      <x:c r="H436" s="9" t="n">
        <x:v>27.9</x:v>
      </x:c>
      <x:c r="I436" s="9" t="n">
        <x:v>83.7</x:v>
      </x:c>
      <x:c r="J436" s="9" t="n">
        <x:v>-0.35</x:v>
      </x:c>
      <x:c r="K436" s="9" t="n">
        <x:v>6.18</x:v>
      </x:c>
      <x:c r="L436" s="3" t="str">
        <x:v>Liquid non-stable USDT pairs: volume &gt;= 10M; up/down threshold +/-1.5%; active logarithmic range threshold 3.0%; quiet active breadth threshold 35%; median direction threshold +/-1.0%.</x:v>
      </x:c>
      <x:c r="M436" s="10" t="n">
        <x:v>1091</x:v>
      </x:c>
      <x:c r="N436" s="3" t="str">
        <x:v>{"recorded_at": 1789442653, "environment": "production", "regime": "ACTIVE / MIXED", "expectation": "Movement is sufficient, but market direction is divided.", "sample_size": 43, "up_pct": 16.3, "down_pct": 27.9, "active_pct": 83.7, "median_change_pct": -0.35, "median_range_pct": 6.18, "formula": "Liquid non-stable USDT pairs: volume &gt;= 10M; up/down threshold +/-1.5%; active logarithmic range threshold 3.0%; quiet active breadth threshold 35%; median direction threshold +/-1.0%."}</x:v>
      </x:c>
    </x:row>
    <x:row r="437" ht="21" customHeight="1">
      <x:c r="A437" s="8" t="n">
        <x:v>46280.27753472222</x:v>
      </x:c>
      <x:c r="B437" s="10" t="n">
        <x:v>1789443579</x:v>
      </x:c>
      <x:c r="C437" s="3" t="str">
        <x:v>production</x:v>
      </x:c>
      <x:c r="D437" s="3" t="str">
        <x:v>ACTIVE / MIXED</x:v>
      </x:c>
      <x:c r="E437" s="3" t="str">
        <x:v>Movement is sufficient, but market direction is divided.</x:v>
      </x:c>
      <x:c r="F437" s="10" t="n">
        <x:v>42</x:v>
      </x:c>
      <x:c r="G437" s="9" t="n">
        <x:v>21.4</x:v>
      </x:c>
      <x:c r="H437" s="9" t="n">
        <x:v>23.8</x:v>
      </x:c>
      <x:c r="I437" s="9" t="n">
        <x:v>83.3</x:v>
      </x:c>
      <x:c r="J437" s="9" t="n">
        <x:v>0.02</x:v>
      </x:c>
      <x:c r="K437" s="9" t="n">
        <x:v>6.38</x:v>
      </x:c>
      <x:c r="L437" s="3" t="str">
        <x:v>Liquid non-stable USDT pairs: volume &gt;= 10M; up/down threshold +/-1.5%; active logarithmic range threshold 3.0%; quiet active breadth threshold 35%; median direction threshold +/-1.0%.</x:v>
      </x:c>
      <x:c r="M437" s="10" t="n">
        <x:v>1092</x:v>
      </x:c>
      <x:c r="N437" s="3" t="str">
        <x:v>{"recorded_at": 1789443579, "environment": "production", "regime": "ACTIVE / MIXED", "expectation": "Movement is sufficient, but market direction is divided.", "sample_size": 42, "up_pct": 21.4, "down_pct": 23.8, "active_pct": 83.3, "median_change_pct": 0.02, "median_range_pct": 6.38, "formula": "Liquid non-stable USDT pairs: volume &gt;= 10M; up/down threshold +/-1.5%; active logarithmic range threshold 3.0%; quiet active breadth threshold 35%; median direction threshold +/-1.0%."}</x:v>
      </x:c>
    </x:row>
    <x:row r="438" ht="21" customHeight="1">
      <x:c r="A438" s="8" t="n">
        <x:v>46280.28832175926</x:v>
      </x:c>
      <x:c r="B438" s="10" t="n">
        <x:v>1789444511</x:v>
      </x:c>
      <x:c r="C438" s="3" t="str">
        <x:v>production</x:v>
      </x:c>
      <x:c r="D438" s="3" t="str">
        <x:v>ACTIVE / MIXED</x:v>
      </x:c>
      <x:c r="E438" s="3" t="str">
        <x:v>Movement is sufficient, but market direction is divided.</x:v>
      </x:c>
      <x:c r="F438" s="10" t="n">
        <x:v>42</x:v>
      </x:c>
      <x:c r="G438" s="9" t="n">
        <x:v>19</x:v>
      </x:c>
      <x:c r="H438" s="9" t="n">
        <x:v>28.6</x:v>
      </x:c>
      <x:c r="I438" s="9" t="n">
        <x:v>83.3</x:v>
      </x:c>
      <x:c r="J438" s="9" t="n">
        <x:v>-0.26</x:v>
      </x:c>
      <x:c r="K438" s="9" t="n">
        <x:v>6.38</x:v>
      </x:c>
      <x:c r="L438" s="3" t="str">
        <x:v>Liquid non-stable USDT pairs: volume &gt;= 10M; up/down threshold +/-1.5%; active logarithmic range threshold 3.0%; quiet active breadth threshold 35%; median direction threshold +/-1.0%.</x:v>
      </x:c>
      <x:c r="M438" s="10" t="n">
        <x:v>1093</x:v>
      </x:c>
      <x:c r="N438" s="3" t="str">
        <x:v>{"recorded_at": 1789444511, "environment": "production", "regime": "ACTIVE / MIXED", "expectation": "Movement is sufficient, but market direction is divided.", "sample_size": 42, "up_pct": 19.0, "down_pct": 28.6, "active_pct": 83.3, "median_change_pct": -0.26, "median_range_pct": 6.38, "formula": "Liquid non-stable USDT pairs: volume &gt;= 10M; up/down threshold +/-1.5%; active logarithmic range threshold 3.0%; quiet active breadth threshold 35%; median direction threshold +/-1.0%."}</x:v>
      </x:c>
    </x:row>
    <x:row r="439" ht="21" customHeight="1">
      <x:c r="A439" s="8" t="n">
        <x:v>46280.299108796295</x:v>
      </x:c>
      <x:c r="B439" s="10" t="n">
        <x:v>1789445443</x:v>
      </x:c>
      <x:c r="C439" s="3" t="str">
        <x:v>production</x:v>
      </x:c>
      <x:c r="D439" s="3" t="str">
        <x:v>ACTIVE / MIXED</x:v>
      </x:c>
      <x:c r="E439" s="3" t="str">
        <x:v>Movement is sufficient, but market direction is divided.</x:v>
      </x:c>
      <x:c r="F439" s="10" t="n">
        <x:v>42</x:v>
      </x:c>
      <x:c r="G439" s="9" t="n">
        <x:v>16.7</x:v>
      </x:c>
      <x:c r="H439" s="9" t="n">
        <x:v>28.6</x:v>
      </x:c>
      <x:c r="I439" s="9" t="n">
        <x:v>83.3</x:v>
      </x:c>
      <x:c r="J439" s="9" t="n">
        <x:v>-0.34</x:v>
      </x:c>
      <x:c r="K439" s="9" t="n">
        <x:v>6.38</x:v>
      </x:c>
      <x:c r="L439" s="3" t="str">
        <x:v>Liquid non-stable USDT pairs: volume &gt;= 10M; up/down threshold +/-1.5%; active logarithmic range threshold 3.0%; quiet active breadth threshold 35%; median direction threshold +/-1.0%.</x:v>
      </x:c>
      <x:c r="M439" s="10" t="n">
        <x:v>1094</x:v>
      </x:c>
      <x:c r="N439" s="3" t="str">
        <x:v>{"recorded_at": 1789445443, "environment": "production", "regime": "ACTIVE / MIXED", "expectation": "Movement is sufficient, but market direction is divided.", "sample_size": 42, "up_pct": 16.7, "down_pct": 28.6, "active_pct": 83.3, "median_change_pct": -0.34, "median_range_pct": 6.38, "formula": "Liquid non-stable USDT pairs: volume &gt;= 10M; up/down threshold +/-1.5%; active logarithmic range threshold 3.0%; quiet active breadth threshold 35%; median direction threshold +/-1.0%."}</x:v>
      </x:c>
    </x:row>
    <x:row r="440" ht="21" customHeight="1">
      <x:c r="A440" s="8" t="n">
        <x:v>46280.30987268518</x:v>
      </x:c>
      <x:c r="B440" s="10" t="n">
        <x:v>1789446373</x:v>
      </x:c>
      <x:c r="C440" s="3" t="str">
        <x:v>production</x:v>
      </x:c>
      <x:c r="D440" s="3" t="str">
        <x:v>ACTIVE / MIXED</x:v>
      </x:c>
      <x:c r="E440" s="3" t="str">
        <x:v>Movement is sufficient, but market direction is divided.</x:v>
      </x:c>
      <x:c r="F440" s="10" t="n">
        <x:v>42</x:v>
      </x:c>
      <x:c r="G440" s="9" t="n">
        <x:v>16.7</x:v>
      </x:c>
      <x:c r="H440" s="9" t="n">
        <x:v>31</x:v>
      </x:c>
      <x:c r="I440" s="9" t="n">
        <x:v>83.3</x:v>
      </x:c>
      <x:c r="J440" s="9" t="n">
        <x:v>-0.53</x:v>
      </x:c>
      <x:c r="K440" s="9" t="n">
        <x:v>6.38</x:v>
      </x:c>
      <x:c r="L440" s="3" t="str">
        <x:v>Liquid non-stable USDT pairs: volume &gt;= 10M; up/down threshold +/-1.5%; active logarithmic range threshold 3.0%; quiet active breadth threshold 35%; median direction threshold +/-1.0%.</x:v>
      </x:c>
      <x:c r="M440" s="10" t="n">
        <x:v>1095</x:v>
      </x:c>
      <x:c r="N440" s="3" t="str">
        <x:v>{"recorded_at": 1789446373, "environment": "production", "regime": "ACTIVE / MIXED", "expectation": "Movement is sufficient, but market direction is divided.", "sample_size": 42, "up_pct": 16.7, "down_pct": 31.0, "active_pct": 83.3, "median_change_pct": -0.53, "median_range_pct": 6.38, "formula": "Liquid non-stable USDT pairs: volume &gt;= 10M; up/down threshold +/-1.5%; active logarithmic range threshold 3.0%; quiet active breadth threshold 35%; median direction threshold +/-1.0%."}</x:v>
      </x:c>
    </x:row>
    <x:row r="441" ht="21" customHeight="1">
      <x:c r="A441" s="8" t="n">
        <x:v>46280.32061342592</x:v>
      </x:c>
      <x:c r="B441" s="10" t="n">
        <x:v>1789447301</x:v>
      </x:c>
      <x:c r="C441" s="3" t="str">
        <x:v>production</x:v>
      </x:c>
      <x:c r="D441" s="3" t="str">
        <x:v>ACTIVE / MIXED</x:v>
      </x:c>
      <x:c r="E441" s="3" t="str">
        <x:v>Movement is sufficient, but market direction is divided.</x:v>
      </x:c>
      <x:c r="F441" s="10" t="n">
        <x:v>42</x:v>
      </x:c>
      <x:c r="G441" s="9" t="n">
        <x:v>21.4</x:v>
      </x:c>
      <x:c r="H441" s="9" t="n">
        <x:v>31</x:v>
      </x:c>
      <x:c r="I441" s="9" t="n">
        <x:v>85.7</x:v>
      </x:c>
      <x:c r="J441" s="9" t="n">
        <x:v>-0.38</x:v>
      </x:c>
      <x:c r="K441" s="9" t="n">
        <x:v>6.38</x:v>
      </x:c>
      <x:c r="L441" s="3" t="str">
        <x:v>Liquid non-stable USDT pairs: volume &gt;= 10M; up/down threshold +/-1.5%; active logarithmic range threshold 3.0%; quiet active breadth threshold 35%; median direction threshold +/-1.0%.</x:v>
      </x:c>
      <x:c r="M441" s="10" t="n">
        <x:v>1096</x:v>
      </x:c>
      <x:c r="N441" s="3" t="str">
        <x:v>{"recorded_at": 1789447301, "environment": "production", "regime": "ACTIVE / MIXED", "expectation": "Movement is sufficient, but market direction is divided.", "sample_size": 42, "up_pct": 21.4, "down_pct": 31.0, "active_pct": 85.7, "median_change_pct": -0.38, "median_range_pct": 6.38, "formula": "Liquid non-stable USDT pairs: volume &gt;= 10M; up/down threshold +/-1.5%; active logarithmic range threshold 3.0%; quiet active breadth threshold 35%; median direction threshold +/-1.0%."}</x:v>
      </x:c>
    </x:row>
    <x:row r="442" ht="21" customHeight="1">
      <x:c r="A442" s="8" t="n">
        <x:v>46280.331354166665</x:v>
      </x:c>
      <x:c r="B442" s="10" t="n">
        <x:v>1789448229</x:v>
      </x:c>
      <x:c r="C442" s="3" t="str">
        <x:v>production</x:v>
      </x:c>
      <x:c r="D442" s="3" t="str">
        <x:v>ACTIVE / MIXED</x:v>
      </x:c>
      <x:c r="E442" s="3" t="str">
        <x:v>Movement is sufficient, but market direction is divided.</x:v>
      </x:c>
      <x:c r="F442" s="10" t="n">
        <x:v>42</x:v>
      </x:c>
      <x:c r="G442" s="9" t="n">
        <x:v>16.7</x:v>
      </x:c>
      <x:c r="H442" s="9" t="n">
        <x:v>28.6</x:v>
      </x:c>
      <x:c r="I442" s="9" t="n">
        <x:v>85.7</x:v>
      </x:c>
      <x:c r="J442" s="9" t="n">
        <x:v>-0.52</x:v>
      </x:c>
      <x:c r="K442" s="9" t="n">
        <x:v>6.38</x:v>
      </x:c>
      <x:c r="L442" s="3" t="str">
        <x:v>Liquid non-stable USDT pairs: volume &gt;= 10M; up/down threshold +/-1.5%; active logarithmic range threshold 3.0%; quiet active breadth threshold 35%; median direction threshold +/-1.0%.</x:v>
      </x:c>
      <x:c r="M442" s="10" t="n">
        <x:v>1097</x:v>
      </x:c>
      <x:c r="N442" s="3" t="str">
        <x:v>{"recorded_at": 1789448229, "environment": "production", "regime": "ACTIVE / MIXED", "expectation": "Movement is sufficient, but market direction is divided.", "sample_size": 42, "up_pct": 16.7, "down_pct": 28.6, "active_pct": 85.7, "median_change_pct": -0.52, "median_range_pct": 6.38, "formula": "Liquid non-stable USDT pairs: volume &gt;= 10M; up/down threshold +/-1.5%; active logarithmic range threshold 3.0%; quiet active breadth threshold 35%; median direction threshold +/-1.0%."}</x:v>
      </x:c>
    </x:row>
    <x:row r="443" ht="21" customHeight="1">
      <x:c r="A443" s="8" t="n">
        <x:v>46280.341840277775</x:v>
      </x:c>
      <x:c r="B443" s="10" t="n">
        <x:v>1789449135</x:v>
      </x:c>
      <x:c r="C443" s="3" t="str">
        <x:v>production</x:v>
      </x:c>
      <x:c r="D443" s="3" t="str">
        <x:v>ACTIVE / MIXED</x:v>
      </x:c>
      <x:c r="E443" s="3" t="str">
        <x:v>Movement is sufficient, but market direction is divided.</x:v>
      </x:c>
      <x:c r="F443" s="10" t="n">
        <x:v>43</x:v>
      </x:c>
      <x:c r="G443" s="9" t="n">
        <x:v>18.6</x:v>
      </x:c>
      <x:c r="H443" s="9" t="n">
        <x:v>27.9</x:v>
      </x:c>
      <x:c r="I443" s="9" t="n">
        <x:v>86</x:v>
      </x:c>
      <x:c r="J443" s="9" t="n">
        <x:v>-0.65</x:v>
      </x:c>
      <x:c r="K443" s="9" t="n">
        <x:v>6.58</x:v>
      </x:c>
      <x:c r="L443" s="3" t="str">
        <x:v>Liquid non-stable USDT pairs: volume &gt;= 10M; up/down threshold +/-1.5%; active logarithmic range threshold 3.0%; quiet active breadth threshold 35%; median direction threshold +/-1.0%.</x:v>
      </x:c>
      <x:c r="M443" s="10" t="n">
        <x:v>1098</x:v>
      </x:c>
      <x:c r="N443" s="3" t="str">
        <x:v>{"recorded_at": 1789449135, "environment": "production", "regime": "ACTIVE / MIXED", "expectation": "Movement is sufficient, but market direction is divided.", "sample_size": 43, "up_pct": 18.6, "down_pct": 27.9, "active_pct": 86.0, "median_change_pct": -0.65, "median_range_pct": 6.58, "formula": "Liquid non-stable USDT pairs: volume &gt;= 10M; up/down threshold +/-1.5%; active logarithmic range threshold 3.0%; quiet active breadth threshold 35%; median direction threshold +/-1.0%."}</x:v>
      </x:c>
    </x:row>
    <x:row r="444" ht="21" customHeight="1">
      <x:c r="A444" s="8" t="n">
        <x:v>46280.35229166667</x:v>
      </x:c>
      <x:c r="B444" s="10" t="n">
        <x:v>1789450038</x:v>
      </x:c>
      <x:c r="C444" s="3" t="str">
        <x:v>production</x:v>
      </x:c>
      <x:c r="D444" s="3" t="str">
        <x:v>ACTIVE / MIXED</x:v>
      </x:c>
      <x:c r="E444" s="3" t="str">
        <x:v>Movement is sufficient, but market direction is divided.</x:v>
      </x:c>
      <x:c r="F444" s="10" t="n">
        <x:v>43</x:v>
      </x:c>
      <x:c r="G444" s="9" t="n">
        <x:v>14</x:v>
      </x:c>
      <x:c r="H444" s="9" t="n">
        <x:v>27.9</x:v>
      </x:c>
      <x:c r="I444" s="9" t="n">
        <x:v>86</x:v>
      </x:c>
      <x:c r="J444" s="9" t="n">
        <x:v>-0.75</x:v>
      </x:c>
      <x:c r="K444" s="9" t="n">
        <x:v>6.58</x:v>
      </x:c>
      <x:c r="L444" s="3" t="str">
        <x:v>Liquid non-stable USDT pairs: volume &gt;= 10M; up/down threshold +/-1.5%; active logarithmic range threshold 3.0%; quiet active breadth threshold 35%; median direction threshold +/-1.0%.</x:v>
      </x:c>
      <x:c r="M444" s="10" t="n">
        <x:v>1099</x:v>
      </x:c>
      <x:c r="N444" s="3" t="str">
        <x:v>{"recorded_at": 1789450038, "environment": "production", "regime": "ACTIVE / MIXED", "expectation": "Movement is sufficient, but market direction is divided.", "sample_size": 43, "up_pct": 14.0, "down_pct": 27.9, "active_pct": 86.0, "median_change_pct": -0.75, "median_range_pct": 6.58, "formula": "Liquid non-stable USDT pairs: volume &gt;= 10M; up/down threshold +/-1.5%; active logarithmic range threshold 3.0%; quiet active breadth threshold 35%; median direction threshold +/-1.0%."}</x:v>
      </x:c>
    </x:row>
    <x:row r="445" ht="21" customHeight="1">
      <x:c r="A445" s="8" t="n">
        <x:v>46280.36306712963</x:v>
      </x:c>
      <x:c r="B445" s="10" t="n">
        <x:v>1789450969</x:v>
      </x:c>
      <x:c r="C445" s="3" t="str">
        <x:v>production</x:v>
      </x:c>
      <x:c r="D445" s="3" t="str">
        <x:v>ACTIVE / MIXED</x:v>
      </x:c>
      <x:c r="E445" s="3" t="str">
        <x:v>Movement is sufficient, but market direction is divided.</x:v>
      </x:c>
      <x:c r="F445" s="10" t="n">
        <x:v>43</x:v>
      </x:c>
      <x:c r="G445" s="9" t="n">
        <x:v>14</x:v>
      </x:c>
      <x:c r="H445" s="9" t="n">
        <x:v>30.2</x:v>
      </x:c>
      <x:c r="I445" s="9" t="n">
        <x:v>86</x:v>
      </x:c>
      <x:c r="J445" s="9" t="n">
        <x:v>-0.67</x:v>
      </x:c>
      <x:c r="K445" s="9" t="n">
        <x:v>6.58</x:v>
      </x:c>
      <x:c r="L445" s="3" t="str">
        <x:v>Liquid non-stable USDT pairs: volume &gt;= 10M; up/down threshold +/-1.5%; active logarithmic range threshold 3.0%; quiet active breadth threshold 35%; median direction threshold +/-1.0%.</x:v>
      </x:c>
      <x:c r="M445" s="10" t="n">
        <x:v>1100</x:v>
      </x:c>
      <x:c r="N445" s="3" t="str">
        <x:v>{"recorded_at": 1789450969, "environment": "production", "regime": "ACTIVE / MIXED", "expectation": "Movement is sufficient, but market direction is divided.", "sample_size": 43, "up_pct": 14.0, "down_pct": 30.2, "active_pct": 86.0, "median_change_pct": -0.67, "median_range_pct": 6.58, "formula": "Liquid non-stable USDT pairs: volume &gt;= 10M; up/down threshold +/-1.5%; active logarithmic range threshold 3.0%; quiet active breadth threshold 35%; median direction threshold +/-1.0%."}</x:v>
      </x:c>
    </x:row>
    <x:row r="446" ht="21" customHeight="1">
      <x:c r="A446" s="8" t="n">
        <x:v>46280.37384259259</x:v>
      </x:c>
      <x:c r="B446" s="10" t="n">
        <x:v>1789451900</x:v>
      </x:c>
      <x:c r="C446" s="3" t="str">
        <x:v>production</x:v>
      </x:c>
      <x:c r="D446" s="3" t="str">
        <x:v>ACTIVE / MIXED</x:v>
      </x:c>
      <x:c r="E446" s="3" t="str">
        <x:v>Movement is sufficient, but market direction is divided.</x:v>
      </x:c>
      <x:c r="F446" s="10" t="n">
        <x:v>44</x:v>
      </x:c>
      <x:c r="G446" s="9" t="n">
        <x:v>18.2</x:v>
      </x:c>
      <x:c r="H446" s="9" t="n">
        <x:v>29.5</x:v>
      </x:c>
      <x:c r="I446" s="9" t="n">
        <x:v>86.4</x:v>
      </x:c>
      <x:c r="J446" s="9" t="n">
        <x:v>-0.5</x:v>
      </x:c>
      <x:c r="K446" s="9" t="n">
        <x:v>6.57</x:v>
      </x:c>
      <x:c r="L446" s="3" t="str">
        <x:v>Liquid non-stable USDT pairs: volume &gt;= 10M; up/down threshold +/-1.5%; active logarithmic range threshold 3.0%; quiet active breadth threshold 35%; median direction threshold +/-1.0%.</x:v>
      </x:c>
      <x:c r="M446" s="10" t="n">
        <x:v>1101</x:v>
      </x:c>
      <x:c r="N446" s="3" t="str">
        <x:v>{"recorded_at": 1789451900, "environment": "production", "regime": "ACTIVE / MIXED", "expectation": "Movement is sufficient, but market direction is divided.", "sample_size": 44, "up_pct": 18.2, "down_pct": 29.5, "active_pct": 86.4, "median_change_pct": -0.5, "median_range_pct": 6.57, "formula": "Liquid non-stable USDT pairs: volume &gt;= 10M; up/down threshold +/-1.5%; active logarithmic range threshold 3.0%; quiet active breadth threshold 35%; median direction threshold +/-1.0%."}</x:v>
      </x:c>
    </x:row>
    <x:row r="447" ht="21" customHeight="1">
      <x:c r="A447" s="8" t="n">
        <x:v>46280.38431712963</x:v>
      </x:c>
      <x:c r="B447" s="10" t="n">
        <x:v>1789452805</x:v>
      </x:c>
      <x:c r="C447" s="3" t="str">
        <x:v>production</x:v>
      </x:c>
      <x:c r="D447" s="3" t="str">
        <x:v>ACTIVE / MIXED</x:v>
      </x:c>
      <x:c r="E447" s="3" t="str">
        <x:v>Movement is sufficient, but market direction is divided.</x:v>
      </x:c>
      <x:c r="F447" s="10" t="n">
        <x:v>44</x:v>
      </x:c>
      <x:c r="G447" s="9" t="n">
        <x:v>13.6</x:v>
      </x:c>
      <x:c r="H447" s="9" t="n">
        <x:v>38.6</x:v>
      </x:c>
      <x:c r="I447" s="9" t="n">
        <x:v>86.4</x:v>
      </x:c>
      <x:c r="J447" s="9" t="n">
        <x:v>-0.97</x:v>
      </x:c>
      <x:c r="K447" s="9" t="n">
        <x:v>6.57</x:v>
      </x:c>
      <x:c r="L447" s="3" t="str">
        <x:v>Liquid non-stable USDT pairs: volume &gt;= 10M; up/down threshold +/-1.5%; active logarithmic range threshold 3.0%; quiet active breadth threshold 35%; median direction threshold +/-1.0%.</x:v>
      </x:c>
      <x:c r="M447" s="10" t="n">
        <x:v>1102</x:v>
      </x:c>
      <x:c r="N447" s="3" t="str">
        <x:v>{"recorded_at": 1789452805, "environment": "production", "regime": "ACTIVE / MIXED", "expectation": "Movement is sufficient, but market direction is divided.", "sample_size": 44, "up_pct": 13.6, "down_pct": 38.6, "active_pct": 86.4, "median_change_pct": -0.97, "median_range_pct": 6.57, "formula": "Liquid non-stable USDT pairs: volume &gt;= 10M; up/down threshold +/-1.5%; active logarithmic range threshold 3.0%; quiet active breadth threshold 35%; median direction threshold +/-1.0%."}</x:v>
      </x:c>
    </x:row>
    <x:row r="448" ht="21" customHeight="1">
      <x:c r="A448" s="8" t="n">
        <x:v>46280.3950462963</x:v>
      </x:c>
      <x:c r="B448" s="10" t="n">
        <x:v>1789453732</x:v>
      </x:c>
      <x:c r="C448" s="3" t="str">
        <x:v>production</x:v>
      </x:c>
      <x:c r="D448" s="3" t="str">
        <x:v>ACTIVE / WEAK</x:v>
      </x:c>
      <x:c r="E448" s="3" t="str">
        <x:v>Broad selling pressure is elevated; new longs need caution.</x:v>
      </x:c>
      <x:c r="F448" s="10" t="n">
        <x:v>44</x:v>
      </x:c>
      <x:c r="G448" s="9" t="n">
        <x:v>9.1</x:v>
      </x:c>
      <x:c r="H448" s="9" t="n">
        <x:v>40.9</x:v>
      </x:c>
      <x:c r="I448" s="9" t="n">
        <x:v>86.4</x:v>
      </x:c>
      <x:c r="J448" s="9" t="n">
        <x:v>-1.08</x:v>
      </x:c>
      <x:c r="K448" s="9" t="n">
        <x:v>6.63</x:v>
      </x:c>
      <x:c r="L448" s="3" t="str">
        <x:v>Liquid non-stable USDT pairs: volume &gt;= 10M; up/down threshold +/-1.5%; active logarithmic range threshold 3.0%; quiet active breadth threshold 35%; median direction threshold +/-1.0%.</x:v>
      </x:c>
      <x:c r="M448" s="10" t="n">
        <x:v>1103</x:v>
      </x:c>
      <x:c r="N448" s="3" t="str">
        <x:v>{"recorded_at": 1789453732, "environment": "production", "regime": "ACTIVE / WEAK", "expectation": "Broad selling pressure is elevated; new longs need caution.", "sample_size": 44, "up_pct": 9.1, "down_pct": 40.9, "active_pct": 86.4, "median_change_pct": -1.08, "median_range_pct": 6.63, "formula": "Liquid non-stable USDT pairs: volume &gt;= 10M; up/down threshold +/-1.5%; active logarithmic range threshold 3.0%; quiet active breadth threshold 35%; median direction threshold +/-1.0%."}</x:v>
      </x:c>
    </x:row>
    <x:row r="449" ht="21" customHeight="1">
      <x:c r="A449" s="8" t="n">
        <x:v>46280.40577546296</x:v>
      </x:c>
      <x:c r="B449" s="10" t="n">
        <x:v>1789454659</x:v>
      </x:c>
      <x:c r="C449" s="3" t="str">
        <x:v>production</x:v>
      </x:c>
      <x:c r="D449" s="3" t="str">
        <x:v>ACTIVE / WEAK</x:v>
      </x:c>
      <x:c r="E449" s="3" t="str">
        <x:v>Broad selling pressure is elevated; new longs need caution.</x:v>
      </x:c>
      <x:c r="F449" s="10" t="n">
        <x:v>44</x:v>
      </x:c>
      <x:c r="G449" s="9" t="n">
        <x:v>9.1</x:v>
      </x:c>
      <x:c r="H449" s="9" t="n">
        <x:v>38.6</x:v>
      </x:c>
      <x:c r="I449" s="9" t="n">
        <x:v>86.4</x:v>
      </x:c>
      <x:c r="J449" s="9" t="n">
        <x:v>-1.25</x:v>
      </x:c>
      <x:c r="K449" s="9" t="n">
        <x:v>6.63</x:v>
      </x:c>
      <x:c r="L449" s="3" t="str">
        <x:v>Liquid non-stable USDT pairs: volume &gt;= 10M; up/down threshold +/-1.5%; active logarithmic range threshold 3.0%; quiet active breadth threshold 35%; median direction threshold +/-1.0%.</x:v>
      </x:c>
      <x:c r="M449" s="10" t="n">
        <x:v>1104</x:v>
      </x:c>
      <x:c r="N449" s="3" t="str">
        <x:v>{"recorded_at": 1789454659, "environment": "production", "regime": "ACTIVE / WEAK", "expectation": "Broad selling pressure is elevated; new longs need caution.", "sample_size": 44, "up_pct": 9.1, "down_pct": 38.6, "active_pct": 86.4, "median_change_pct": -1.25, "median_range_pct": 6.63, "formula": "Liquid non-stable USDT pairs: volume &gt;= 10M; up/down threshold +/-1.5%; active logarithmic range threshold 3.0%; quiet active breadth threshold 35%; median direction threshold +/-1.0%."}</x:v>
      </x:c>
    </x:row>
    <x:row r="450" ht="21" customHeight="1">
      <x:c r="A450" s="8" t="n">
        <x:v>46280.41638888889</x:v>
      </x:c>
      <x:c r="B450" s="10" t="n">
        <x:v>1789455576</x:v>
      </x:c>
      <x:c r="C450" s="3" t="str">
        <x:v>production</x:v>
      </x:c>
      <x:c r="D450" s="3" t="str">
        <x:v>ACTIVE / WEAK</x:v>
      </x:c>
      <x:c r="E450" s="3" t="str">
        <x:v>Broad selling pressure is elevated; new longs need caution.</x:v>
      </x:c>
      <x:c r="F450" s="10" t="n">
        <x:v>44</x:v>
      </x:c>
      <x:c r="G450" s="9" t="n">
        <x:v>6.8</x:v>
      </x:c>
      <x:c r="H450" s="9" t="n">
        <x:v>45.5</x:v>
      </x:c>
      <x:c r="I450" s="9" t="n">
        <x:v>88.6</x:v>
      </x:c>
      <x:c r="J450" s="9" t="n">
        <x:v>-1.11</x:v>
      </x:c>
      <x:c r="K450" s="9" t="n">
        <x:v>6.7</x:v>
      </x:c>
      <x:c r="L450" s="3" t="str">
        <x:v>Liquid non-stable USDT pairs: volume &gt;= 10M; up/down threshold +/-1.5%; active logarithmic range threshold 3.0%; quiet active breadth threshold 35%; median direction threshold +/-1.0%.</x:v>
      </x:c>
      <x:c r="M450" s="10" t="n">
        <x:v>1105</x:v>
      </x:c>
      <x:c r="N450" s="3" t="str">
        <x:v>{"recorded_at": 1789455576, "environment": "production", "regime": "ACTIVE / WEAK", "expectation": "Broad selling pressure is elevated; new longs need caution.", "sample_size": 44, "up_pct": 6.8, "down_pct": 45.5, "active_pct": 88.6, "median_change_pct": -1.11, "median_range_pct": 6.7, "formula": "Liquid non-stable USDT pairs: volume &gt;= 10M; up/down threshold +/-1.5%; active logarithmic range threshold 3.0%; quiet active breadth threshold 35%; median direction threshold +/-1.0%."}</x:v>
      </x:c>
    </x:row>
    <x:row r="451" ht="21" customHeight="1">
      <x:c r="A451" s="8" t="n">
        <x:v>46280.427152777775</x:v>
      </x:c>
      <x:c r="B451" s="10" t="n">
        <x:v>1789456506</x:v>
      </x:c>
      <x:c r="C451" s="3" t="str">
        <x:v>production</x:v>
      </x:c>
      <x:c r="D451" s="3" t="str">
        <x:v>ACTIVE / MIXED</x:v>
      </x:c>
      <x:c r="E451" s="3" t="str">
        <x:v>Movement is sufficient, but market direction is divided.</x:v>
      </x:c>
      <x:c r="F451" s="10" t="n">
        <x:v>42</x:v>
      </x:c>
      <x:c r="G451" s="9" t="n">
        <x:v>7.1</x:v>
      </x:c>
      <x:c r="H451" s="9" t="n">
        <x:v>47.6</x:v>
      </x:c>
      <x:c r="I451" s="9" t="n">
        <x:v>88.1</x:v>
      </x:c>
      <x:c r="J451" s="9" t="n">
        <x:v>-0.9</x:v>
      </x:c>
      <x:c r="K451" s="9" t="n">
        <x:v>6.38</x:v>
      </x:c>
      <x:c r="L451" s="3" t="str">
        <x:v>Liquid non-stable USDT pairs: volume &gt;= 10M; up/down threshold +/-1.5%; active logarithmic range threshold 3.0%; quiet active breadth threshold 35%; median direction threshold +/-1.0%.</x:v>
      </x:c>
      <x:c r="M451" s="10" t="n">
        <x:v>1106</x:v>
      </x:c>
      <x:c r="N451" s="3" t="str">
        <x:v>{"recorded_at": 1789456506, "environment": "production", "regime": "ACTIVE / MIXED", "expectation": "Movement is sufficient, but market direction is divided.", "sample_size": 42, "up_pct": 7.1, "down_pct": 47.6, "active_pct": 88.1, "median_change_pct": -0.9, "median_range_pct": 6.38, "formula": "Liquid non-stable USDT pairs: volume &gt;= 10M; up/down threshold +/-1.5%; active logarithmic range threshold 3.0%; quiet active breadth threshold 35%; median direction threshold +/-1.0%."}</x:v>
      </x:c>
    </x:row>
    <x:row r="452" ht="21" customHeight="1">
      <x:c r="A452" s="8" t="n">
        <x:v>46280.437627314815</x:v>
      </x:c>
      <x:c r="B452" s="10" t="n">
        <x:v>1789457411</x:v>
      </x:c>
      <x:c r="C452" s="3" t="str">
        <x:v>production</x:v>
      </x:c>
      <x:c r="D452" s="3" t="str">
        <x:v>ACTIVE / MIXED</x:v>
      </x:c>
      <x:c r="E452" s="3" t="str">
        <x:v>Movement is sufficient, but market direction is divided.</x:v>
      </x:c>
      <x:c r="F452" s="10" t="n">
        <x:v>41</x:v>
      </x:c>
      <x:c r="G452" s="9" t="n">
        <x:v>7.3</x:v>
      </x:c>
      <x:c r="H452" s="9" t="n">
        <x:v>41.5</x:v>
      </x:c>
      <x:c r="I452" s="9" t="n">
        <x:v>87.8</x:v>
      </x:c>
      <x:c r="J452" s="9" t="n">
        <x:v>-0.86</x:v>
      </x:c>
      <x:c r="K452" s="9" t="n">
        <x:v>6.58</x:v>
      </x:c>
      <x:c r="L452" s="3" t="str">
        <x:v>Liquid non-stable USDT pairs: volume &gt;= 10M; up/down threshold +/-1.5%; active logarithmic range threshold 3.0%; quiet active breadth threshold 35%; median direction threshold +/-1.0%.</x:v>
      </x:c>
      <x:c r="M452" s="10" t="n">
        <x:v>1107</x:v>
      </x:c>
      <x:c r="N452" s="3" t="str">
        <x:v>{"recorded_at": 1789457411, "environment": "production", "regime": "ACTIVE / MIXED", "expectation": "Movement is sufficient, but market direction is divided.", "sample_size": 41, "up_pct": 7.3, "down_pct": 41.5, "active_pct": 87.8, "median_change_pct": -0.86, "median_range_pct": 6.58, "formula": "Liquid non-stable USDT pairs: volume &gt;= 10M; up/down threshold +/-1.5%; active logarithmic range threshold 3.0%; quiet active breadth threshold 35%; median direction threshold +/-1.0%."}</x:v>
      </x:c>
    </x:row>
    <x:row r="453" ht="21" customHeight="1">
      <x:c r="A453" s="8" t="n">
        <x:v>46280.4484375</x:v>
      </x:c>
      <x:c r="B453" s="10" t="n">
        <x:v>1789458345</x:v>
      </x:c>
      <x:c r="C453" s="3" t="str">
        <x:v>production</x:v>
      </x:c>
      <x:c r="D453" s="3" t="str">
        <x:v>ACTIVE / WEAK</x:v>
      </x:c>
      <x:c r="E453" s="3" t="str">
        <x:v>Broad selling pressure is elevated; new longs need caution.</x:v>
      </x:c>
      <x:c r="F453" s="10" t="n">
        <x:v>41</x:v>
      </x:c>
      <x:c r="G453" s="9" t="n">
        <x:v>7.3</x:v>
      </x:c>
      <x:c r="H453" s="9" t="n">
        <x:v>51.2</x:v>
      </x:c>
      <x:c r="I453" s="9" t="n">
        <x:v>87.8</x:v>
      </x:c>
      <x:c r="J453" s="9" t="n">
        <x:v>-1.71</x:v>
      </x:c>
      <x:c r="K453" s="9" t="n">
        <x:v>6.83</x:v>
      </x:c>
      <x:c r="L453" s="3" t="str">
        <x:v>Liquid non-stable USDT pairs: volume &gt;= 10M; up/down threshold +/-1.5%; active logarithmic range threshold 3.0%; quiet active breadth threshold 35%; median direction threshold +/-1.0%.</x:v>
      </x:c>
      <x:c r="M453" s="10" t="n">
        <x:v>1108</x:v>
      </x:c>
      <x:c r="N453" s="3" t="str">
        <x:v>{"recorded_at": 1789458345, "environment": "production", "regime": "ACTIVE / WEAK", "expectation": "Broad selling pressure is elevated; new longs need caution.", "sample_size": 41, "up_pct": 7.3, "down_pct": 51.2, "active_pct": 87.8, "median_change_pct": -1.71, "median_range_pct": 6.83, "formula": "Liquid non-stable USDT pairs: volume &gt;= 10M; up/down threshold +/-1.5%; active logarithmic range threshold 3.0%; quiet active breadth threshold 35%; median direction threshold +/-1.0%."}</x:v>
      </x:c>
    </x:row>
    <x:row r="454" ht="21" customHeight="1">
      <x:c r="A454" s="8" t="n">
        <x:v>46280.45891203704</x:v>
      </x:c>
      <x:c r="B454" s="10" t="n">
        <x:v>1789459250</x:v>
      </x:c>
      <x:c r="C454" s="3" t="str">
        <x:v>production</x:v>
      </x:c>
      <x:c r="D454" s="3" t="str">
        <x:v>ACTIVE / WEAK</x:v>
      </x:c>
      <x:c r="E454" s="3" t="str">
        <x:v>Broad selling pressure is elevated; new longs need caution.</x:v>
      </x:c>
      <x:c r="F454" s="10" t="n">
        <x:v>41</x:v>
      </x:c>
      <x:c r="G454" s="9" t="n">
        <x:v>7.3</x:v>
      </x:c>
      <x:c r="H454" s="9" t="n">
        <x:v>48.8</x:v>
      </x:c>
      <x:c r="I454" s="9" t="n">
        <x:v>87.8</x:v>
      </x:c>
      <x:c r="J454" s="9" t="n">
        <x:v>-1.35</x:v>
      </x:c>
      <x:c r="K454" s="9" t="n">
        <x:v>7</x:v>
      </x:c>
      <x:c r="L454" s="3" t="str">
        <x:v>Liquid non-stable USDT pairs: volume &gt;= 10M; up/down threshold +/-1.5%; active logarithmic range threshold 3.0%; quiet active breadth threshold 35%; median direction threshold +/-1.0%.</x:v>
      </x:c>
      <x:c r="M454" s="10" t="n">
        <x:v>1109</x:v>
      </x:c>
      <x:c r="N454" s="3" t="str">
        <x:v>{"recorded_at": 1789459250, "environment": "production", "regime": "ACTIVE / WEAK", "expectation": "Broad selling pressure is elevated; new longs need caution.", "sample_size": 41, "up_pct": 7.3, "down_pct": 48.8, "active_pct": 87.8, "median_change_pct": -1.35, "median_range_pct": 7.0, "formula": "Liquid non-stable USDT pairs: volume &gt;= 10M; up/down threshold +/-1.5%; active logarithmic range threshold 3.0%; quiet active breadth threshold 35%; median direction threshold +/-1.0%."}</x:v>
      </x:c>
    </x:row>
    <x:row r="455" ht="21" customHeight="1">
      <x:c r="A455" s="8" t="n">
        <x:v>46280.46934027778</x:v>
      </x:c>
      <x:c r="B455" s="10" t="n">
        <x:v>1789460151</x:v>
      </x:c>
      <x:c r="C455" s="3" t="str">
        <x:v>production</x:v>
      </x:c>
      <x:c r="D455" s="3" t="str">
        <x:v>ACTIVE / WEAK</x:v>
      </x:c>
      <x:c r="E455" s="3" t="str">
        <x:v>Broad selling pressure is elevated; new longs need caution.</x:v>
      </x:c>
      <x:c r="F455" s="10" t="n">
        <x:v>41</x:v>
      </x:c>
      <x:c r="G455" s="9" t="n">
        <x:v>7.3</x:v>
      </x:c>
      <x:c r="H455" s="9" t="n">
        <x:v>51.2</x:v>
      </x:c>
      <x:c r="I455" s="9" t="n">
        <x:v>87.8</x:v>
      </x:c>
      <x:c r="J455" s="9" t="n">
        <x:v>-1.51</x:v>
      </x:c>
      <x:c r="K455" s="9" t="n">
        <x:v>7</x:v>
      </x:c>
      <x:c r="L455" s="3" t="str">
        <x:v>Liquid non-stable USDT pairs: volume &gt;= 10M; up/down threshold +/-1.5%; active logarithmic range threshold 3.0%; quiet active breadth threshold 35%; median direction threshold +/-1.0%.</x:v>
      </x:c>
      <x:c r="M455" s="10" t="n">
        <x:v>1110</x:v>
      </x:c>
      <x:c r="N455" s="3" t="str">
        <x:v>{"recorded_at": 1789460151, "environment": "production", "regime": "ACTIVE / WEAK", "expectation": "Broad selling pressure is elevated; new longs need caution.", "sample_size": 41, "up_pct": 7.3, "down_pct": 51.2, "active_pct": 87.8, "median_change_pct": -1.51, "median_range_pct": 7.0, "formula": "Liquid non-stable USDT pairs: volume &gt;= 10M; up/down threshold +/-1.5%; active logarithmic range threshold 3.0%; quiet active breadth threshold 35%; median direction threshold +/-1.0%."}</x:v>
      </x:c>
    </x:row>
    <x:row r="456" ht="21" customHeight="1">
      <x:c r="A456" s="8" t="n">
        <x:v>46280.479895833334</x:v>
      </x:c>
      <x:c r="B456" s="10" t="n">
        <x:v>1789461063</x:v>
      </x:c>
      <x:c r="C456" s="3" t="str">
        <x:v>production</x:v>
      </x:c>
      <x:c r="D456" s="3" t="str">
        <x:v>ACTIVE / WEAK</x:v>
      </x:c>
      <x:c r="E456" s="3" t="str">
        <x:v>Broad selling pressure is elevated; new longs need caution.</x:v>
      </x:c>
      <x:c r="F456" s="10" t="n">
        <x:v>41</x:v>
      </x:c>
      <x:c r="G456" s="9" t="n">
        <x:v>4.9</x:v>
      </x:c>
      <x:c r="H456" s="9" t="n">
        <x:v>46.3</x:v>
      </x:c>
      <x:c r="I456" s="9" t="n">
        <x:v>87.8</x:v>
      </x:c>
      <x:c r="J456" s="9" t="n">
        <x:v>-1.17</x:v>
      </x:c>
      <x:c r="K456" s="9" t="n">
        <x:v>7</x:v>
      </x:c>
      <x:c r="L456" s="3" t="str">
        <x:v>Liquid non-stable USDT pairs: volume &gt;= 10M; up/down threshold +/-1.5%; active logarithmic range threshold 3.0%; quiet active breadth threshold 35%; median direction threshold +/-1.0%.</x:v>
      </x:c>
      <x:c r="M456" s="10" t="n">
        <x:v>1111</x:v>
      </x:c>
      <x:c r="N456" s="3" t="str">
        <x:v>{"recorded_at": 1789461063, "environment": "production", "regime": "ACTIVE / WEAK", "expectation": "Broad selling pressure is elevated; new longs need caution.", "sample_size": 41, "up_pct": 4.9, "down_pct": 46.3, "active_pct": 87.8, "median_change_pct": -1.17, "median_range_pct": 7.0, "formula": "Liquid non-stable USDT pairs: volume &gt;= 10M; up/down threshold +/-1.5%; active logarithmic range threshold 3.0%; quiet active breadth threshold 35%; median direction threshold +/-1.0%."}</x:v>
      </x:c>
    </x:row>
    <x:row r="457" ht="21" customHeight="1">
      <x:c r="A457" s="8" t="n">
        <x:v>46280.490324074075</x:v>
      </x:c>
      <x:c r="B457" s="10" t="n">
        <x:v>1789461964</x:v>
      </x:c>
      <x:c r="C457" s="3" t="str">
        <x:v>production</x:v>
      </x:c>
      <x:c r="D457" s="3" t="str">
        <x:v>ACTIVE / WEAK</x:v>
      </x:c>
      <x:c r="E457" s="3" t="str">
        <x:v>Broad selling pressure is elevated; new longs need caution.</x:v>
      </x:c>
      <x:c r="F457" s="10" t="n">
        <x:v>40</x:v>
      </x:c>
      <x:c r="G457" s="9" t="n">
        <x:v>7.5</x:v>
      </x:c>
      <x:c r="H457" s="9" t="n">
        <x:v>40</x:v>
      </x:c>
      <x:c r="I457" s="9" t="n">
        <x:v>87.5</x:v>
      </x:c>
      <x:c r="J457" s="9" t="n">
        <x:v>-1.07</x:v>
      </x:c>
      <x:c r="K457" s="9" t="n">
        <x:v>6.91</x:v>
      </x:c>
      <x:c r="L457" s="3" t="str">
        <x:v>Liquid non-stable USDT pairs: volume &gt;= 10M; up/down threshold +/-1.5%; active logarithmic range threshold 3.0%; quiet active breadth threshold 35%; median direction threshold +/-1.0%.</x:v>
      </x:c>
      <x:c r="M457" s="10" t="n">
        <x:v>1112</x:v>
      </x:c>
      <x:c r="N457" s="3" t="str">
        <x:v>{"recorded_at": 1789461964, "environment": "production", "regime": "ACTIVE / WEAK", "expectation": "Broad selling pressure is elevated; new longs need caution.", "sample_size": 40, "up_pct": 7.5, "down_pct": 40.0, "active_pct": 87.5, "median_change_pct": -1.07, "median_range_pct": 6.91, "formula": "Liquid non-stable USDT pairs: volume &gt;= 10M; up/down threshold +/-1.5%; active logarithmic range threshold 3.0%; quiet active breadth threshold 35%; median direction threshold +/-1.0%."}</x:v>
      </x:c>
    </x:row>
    <x:row r="458" ht="21" customHeight="1">
      <x:c r="A458" s="8" t="n">
        <x:v>46280.50111111111</x:v>
      </x:c>
      <x:c r="B458" s="10" t="n">
        <x:v>1789462896</x:v>
      </x:c>
      <x:c r="C458" s="3" t="str">
        <x:v>production</x:v>
      </x:c>
      <x:c r="D458" s="3" t="str">
        <x:v>ACTIVE / WEAK</x:v>
      </x:c>
      <x:c r="E458" s="3" t="str">
        <x:v>Broad selling pressure is elevated; new longs need caution.</x:v>
      </x:c>
      <x:c r="F458" s="10" t="n">
        <x:v>40</x:v>
      </x:c>
      <x:c r="G458" s="9" t="n">
        <x:v>10</x:v>
      </x:c>
      <x:c r="H458" s="9" t="n">
        <x:v>42.5</x:v>
      </x:c>
      <x:c r="I458" s="9" t="n">
        <x:v>87.5</x:v>
      </x:c>
      <x:c r="J458" s="9" t="n">
        <x:v>-1.06</x:v>
      </x:c>
      <x:c r="K458" s="9" t="n">
        <x:v>6.91</x:v>
      </x:c>
      <x:c r="L458" s="3" t="str">
        <x:v>Liquid non-stable USDT pairs: volume &gt;= 10M; up/down threshold +/-1.5%; active logarithmic range threshold 3.0%; quiet active breadth threshold 35%; median direction threshold +/-1.0%.</x:v>
      </x:c>
      <x:c r="M458" s="10" t="n">
        <x:v>1113</x:v>
      </x:c>
      <x:c r="N458" s="3" t="str">
        <x:v>{"recorded_at": 1789462896, "environment": "production", "regime": "ACTIVE / WEAK", "expectation": "Broad selling pressure is elevated; new longs need caution.", "sample_size": 40, "up_pct": 10.0, "down_pct": 42.5, "active_pct": 87.5, "median_change_pct": -1.06, "median_range_pct": 6.91, "formula": "Liquid non-stable USDT pairs: volume &gt;= 10M; up/down threshold +/-1.5%; active logarithmic range threshold 3.0%; quiet active breadth threshold 35%; median direction threshold +/-1.0%."}</x:v>
      </x:c>
    </x:row>
    <x:row r="459" ht="21" customHeight="1">
      <x:c r="A459" s="8" t="n">
        <x:v>46280.51167824074</x:v>
      </x:c>
      <x:c r="B459" s="10" t="n">
        <x:v>1789463809</x:v>
      </x:c>
      <x:c r="C459" s="3" t="str">
        <x:v>production</x:v>
      </x:c>
      <x:c r="D459" s="3" t="str">
        <x:v>ACTIVE / MIXED</x:v>
      </x:c>
      <x:c r="E459" s="3" t="str">
        <x:v>Movement is sufficient, but market direction is divided.</x:v>
      </x:c>
      <x:c r="F459" s="10" t="n">
        <x:v>40</x:v>
      </x:c>
      <x:c r="G459" s="9" t="n">
        <x:v>10</x:v>
      </x:c>
      <x:c r="H459" s="9" t="n">
        <x:v>37.5</x:v>
      </x:c>
      <x:c r="I459" s="9" t="n">
        <x:v>87.5</x:v>
      </x:c>
      <x:c r="J459" s="9" t="n">
        <x:v>-0.82</x:v>
      </x:c>
      <x:c r="K459" s="9" t="n">
        <x:v>6.91</x:v>
      </x:c>
      <x:c r="L459" s="3" t="str">
        <x:v>Liquid non-stable USDT pairs: volume &gt;= 10M; up/down threshold +/-1.5%; active logarithmic range threshold 3.0%; quiet active breadth threshold 35%; median direction threshold +/-1.0%.</x:v>
      </x:c>
      <x:c r="M459" s="10" t="n">
        <x:v>1114</x:v>
      </x:c>
      <x:c r="N459" s="3" t="str">
        <x:v>{"recorded_at": 1789463809, "environment": "production", "regime": "ACTIVE / MIXED", "expectation": "Movement is sufficient, but market direction is divided.", "sample_size": 40, "up_pct": 10.0, "down_pct": 37.5, "active_pct": 87.5, "median_change_pct": -0.82, "median_range_pct": 6.91, "formula": "Liquid non-stable USDT pairs: volume &gt;= 10M; up/down threshold +/-1.5%; active logarithmic range threshold 3.0%; quiet active breadth threshold 35%; median direction threshold +/-1.0%."}</x:v>
      </x:c>
    </x:row>
    <x:row r="460" ht="21" customHeight="1">
      <x:c r="A460" s="8" t="n">
        <x:v>46280.5221875</x:v>
      </x:c>
      <x:c r="B460" s="10" t="n">
        <x:v>1789464717</x:v>
      </x:c>
      <x:c r="C460" s="3" t="str">
        <x:v>production</x:v>
      </x:c>
      <x:c r="D460" s="3" t="str">
        <x:v>ACTIVE / MIXED</x:v>
      </x:c>
      <x:c r="E460" s="3" t="str">
        <x:v>Movement is sufficient, but market direction is divided.</x:v>
      </x:c>
      <x:c r="F460" s="10" t="n">
        <x:v>40</x:v>
      </x:c>
      <x:c r="G460" s="9" t="n">
        <x:v>10</x:v>
      </x:c>
      <x:c r="H460" s="9" t="n">
        <x:v>40</x:v>
      </x:c>
      <x:c r="I460" s="9" t="n">
        <x:v>87.5</x:v>
      </x:c>
      <x:c r="J460" s="9" t="n">
        <x:v>-0.81</x:v>
      </x:c>
      <x:c r="K460" s="9" t="n">
        <x:v>6.88</x:v>
      </x:c>
      <x:c r="L460" s="3" t="str">
        <x:v>Liquid non-stable USDT pairs: volume &gt;= 10M; up/down threshold +/-1.5%; active logarithmic range threshold 3.0%; quiet active breadth threshold 35%; median direction threshold +/-1.0%.</x:v>
      </x:c>
      <x:c r="M460" s="10" t="n">
        <x:v>1115</x:v>
      </x:c>
      <x:c r="N460" s="3" t="str">
        <x:v>{"recorded_at": 1789464717, "environment": "production", "regime": "ACTIVE / MIXED", "expectation": "Movement is sufficient, but market direction is divided.", "sample_size": 40, "up_pct": 10.0, "down_pct": 40.0, "active_pct": 87.5, "median_change_pct": -0.81, "median_range_pct": 6.88, "formula": "Liquid non-stable USDT pairs: volume &gt;= 10M; up/down threshold +/-1.5%; active logarithmic range threshold 3.0%; quiet active breadth threshold 35%; median direction threshold +/-1.0%."}</x:v>
      </x:c>
    </x:row>
    <x:row r="461" ht="21" customHeight="1">
      <x:c r="A461" s="8" t="n">
        <x:v>46280.53266203704</x:v>
      </x:c>
      <x:c r="B461" s="10" t="n">
        <x:v>1789465622</x:v>
      </x:c>
      <x:c r="C461" s="3" t="str">
        <x:v>production</x:v>
      </x:c>
      <x:c r="D461" s="3" t="str">
        <x:v>ACTIVE / MIXED</x:v>
      </x:c>
      <x:c r="E461" s="3" t="str">
        <x:v>Movement is sufficient, but market direction is divided.</x:v>
      </x:c>
      <x:c r="F461" s="10" t="n">
        <x:v>40</x:v>
      </x:c>
      <x:c r="G461" s="9" t="n">
        <x:v>10</x:v>
      </x:c>
      <x:c r="H461" s="9" t="n">
        <x:v>37.5</x:v>
      </x:c>
      <x:c r="I461" s="9" t="n">
        <x:v>87.5</x:v>
      </x:c>
      <x:c r="J461" s="9" t="n">
        <x:v>-0.83</x:v>
      </x:c>
      <x:c r="K461" s="9" t="n">
        <x:v>6.74</x:v>
      </x:c>
      <x:c r="L461" s="3" t="str">
        <x:v>Liquid non-stable USDT pairs: volume &gt;= 10M; up/down threshold +/-1.5%; active logarithmic range threshold 3.0%; quiet active breadth threshold 35%; median direction threshold +/-1.0%.</x:v>
      </x:c>
      <x:c r="M461" s="10" t="n">
        <x:v>1116</x:v>
      </x:c>
      <x:c r="N461" s="3" t="str">
        <x:v>{"recorded_at": 1789465622, "environment": "production", "regime": "ACTIVE / MIXED", "expectation": "Movement is sufficient, but market direction is divided.", "sample_size": 40, "up_pct": 10.0, "down_pct": 37.5, "active_pct": 87.5, "median_change_pct": -0.83, "median_range_pct": 6.74, "formula": "Liquid non-stable USDT pairs: volume &gt;= 10M; up/down threshold +/-1.5%; active logarithmic range threshold 3.0%; quiet active breadth threshold 35%; median direction threshold +/-1.0%."}</x:v>
      </x:c>
    </x:row>
    <x:row r="462" ht="21" customHeight="1">
      <x:c r="A462" s="8" t="n">
        <x:v>46280.543125</x:v>
      </x:c>
      <x:c r="B462" s="10" t="n">
        <x:v>1789466526</x:v>
      </x:c>
      <x:c r="C462" s="3" t="str">
        <x:v>production</x:v>
      </x:c>
      <x:c r="D462" s="3" t="str">
        <x:v>ACTIVE / MIXED</x:v>
      </x:c>
      <x:c r="E462" s="3" t="str">
        <x:v>Movement is sufficient, but market direction is divided.</x:v>
      </x:c>
      <x:c r="F462" s="10" t="n">
        <x:v>39</x:v>
      </x:c>
      <x:c r="G462" s="9" t="n">
        <x:v>10.3</x:v>
      </x:c>
      <x:c r="H462" s="9" t="n">
        <x:v>35.9</x:v>
      </x:c>
      <x:c r="I462" s="9" t="n">
        <x:v>87.2</x:v>
      </x:c>
      <x:c r="J462" s="9" t="n">
        <x:v>-0.85</x:v>
      </x:c>
      <x:c r="K462" s="9" t="n">
        <x:v>6.28</x:v>
      </x:c>
      <x:c r="L462" s="3" t="str">
        <x:v>Liquid non-stable USDT pairs: volume &gt;= 10M; up/down threshold +/-1.5%; active logarithmic range threshold 3.0%; quiet active breadth threshold 35%; median direction threshold +/-1.0%.</x:v>
      </x:c>
      <x:c r="M462" s="10" t="n">
        <x:v>1117</x:v>
      </x:c>
      <x:c r="N462" s="3" t="str">
        <x:v>{"recorded_at": 1789466526, "environment": "production", "regime": "ACTIVE / MIXED", "expectation": "Movement is sufficient, but market direction is divided.", "sample_size": 39, "up_pct": 10.3, "down_pct": 35.9, "active_pct": 87.2, "median_change_pct": -0.85, "median_range_pct": 6.28, "formula": "Liquid non-stable USDT pairs: volume &gt;= 10M; up/down threshold +/-1.5%; active logarithmic range threshold 3.0%; quiet active breadth threshold 35%; median direction threshold +/-1.0%."}</x:v>
      </x:c>
    </x:row>
    <x:row r="463" ht="21" customHeight="1">
      <x:c r="A463" s="8" t="n">
        <x:v>46280.55364583333</x:v>
      </x:c>
      <x:c r="B463" s="10" t="n">
        <x:v>1789467435</x:v>
      </x:c>
      <x:c r="C463" s="3" t="str">
        <x:v>production</x:v>
      </x:c>
      <x:c r="D463" s="3" t="str">
        <x:v>ACTIVE / MIXED</x:v>
      </x:c>
      <x:c r="E463" s="3" t="str">
        <x:v>Movement is sufficient, but market direction is divided.</x:v>
      </x:c>
      <x:c r="F463" s="10" t="n">
        <x:v>39</x:v>
      </x:c>
      <x:c r="G463" s="9" t="n">
        <x:v>10.3</x:v>
      </x:c>
      <x:c r="H463" s="9" t="n">
        <x:v>35.9</x:v>
      </x:c>
      <x:c r="I463" s="9" t="n">
        <x:v>87.2</x:v>
      </x:c>
      <x:c r="J463" s="9" t="n">
        <x:v>-0.77</x:v>
      </x:c>
      <x:c r="K463" s="9" t="n">
        <x:v>6.28</x:v>
      </x:c>
      <x:c r="L463" s="3" t="str">
        <x:v>Liquid non-stable USDT pairs: volume &gt;= 10M; up/down threshold +/-1.5%; active logarithmic range threshold 3.0%; quiet active breadth threshold 35%; median direction threshold +/-1.0%.</x:v>
      </x:c>
      <x:c r="M463" s="10" t="n">
        <x:v>1118</x:v>
      </x:c>
      <x:c r="N463" s="3" t="str">
        <x:v>{"recorded_at": 1789467435, "environment": "production", "regime": "ACTIVE / MIXED", "expectation": "Movement is sufficient, but market direction is divided.", "sample_size": 39, "up_pct": 10.3, "down_pct": 35.9, "active_pct": 87.2, "median_change_pct": -0.77, "median_range_pct": 6.28, "formula": "Liquid non-stable USDT pairs: volume &gt;= 10M; up/down threshold +/-1.5%; active logarithmic range threshold 3.0%; quiet active breadth threshold 35%; median direction threshold +/-1.0%."}</x:v>
      </x:c>
    </x:row>
    <x:row r="464" ht="21" customHeight="1">
      <x:c r="A464" s="8" t="n">
        <x:v>46280.56427083333</x:v>
      </x:c>
      <x:c r="B464" s="10" t="n">
        <x:v>1789468353</x:v>
      </x:c>
      <x:c r="C464" s="3" t="str">
        <x:v>production</x:v>
      </x:c>
      <x:c r="D464" s="3" t="str">
        <x:v>ACTIVE / MIXED</x:v>
      </x:c>
      <x:c r="E464" s="3" t="str">
        <x:v>Movement is sufficient, but market direction is divided.</x:v>
      </x:c>
      <x:c r="F464" s="10" t="n">
        <x:v>39</x:v>
      </x:c>
      <x:c r="G464" s="9" t="n">
        <x:v>10.3</x:v>
      </x:c>
      <x:c r="H464" s="9" t="n">
        <x:v>35.9</x:v>
      </x:c>
      <x:c r="I464" s="9" t="n">
        <x:v>87.2</x:v>
      </x:c>
      <x:c r="J464" s="9" t="n">
        <x:v>-0.68</x:v>
      </x:c>
      <x:c r="K464" s="9" t="n">
        <x:v>6.28</x:v>
      </x:c>
      <x:c r="L464" s="3" t="str">
        <x:v>Liquid non-stable USDT pairs: volume &gt;= 10M; up/down threshold +/-1.5%; active logarithmic range threshold 3.0%; quiet active breadth threshold 35%; median direction threshold +/-1.0%.</x:v>
      </x:c>
      <x:c r="M464" s="10" t="n">
        <x:v>1119</x:v>
      </x:c>
      <x:c r="N464" s="3" t="str">
        <x:v>{"recorded_at": 1789468353, "environment": "production", "regime": "ACTIVE / MIXED", "expectation": "Movement is sufficient, but market direction is divided.", "sample_size": 39, "up_pct": 10.3, "down_pct": 35.9, "active_pct": 87.2, "median_change_pct": -0.68, "median_range_pct": 6.28, "formula": "Liquid non-stable USDT pairs: volume &gt;= 10M; up/down threshold +/-1.5%; active logarithmic range threshold 3.0%; quiet active breadth threshold 35%; median direction threshold +/-1.0%."}</x:v>
      </x:c>
    </x:row>
    <x:row r="465" ht="21" customHeight="1">
      <x:c r="A465" s="8" t="n">
        <x:v>46280.57498842593</x:v>
      </x:c>
      <x:c r="B465" s="10" t="n">
        <x:v>1789469279</x:v>
      </x:c>
      <x:c r="C465" s="3" t="str">
        <x:v>production</x:v>
      </x:c>
      <x:c r="D465" s="3" t="str">
        <x:v>ACTIVE / MIXED</x:v>
      </x:c>
      <x:c r="E465" s="3" t="str">
        <x:v>Movement is sufficient, but market direction is divided.</x:v>
      </x:c>
      <x:c r="F465" s="10" t="n">
        <x:v>39</x:v>
      </x:c>
      <x:c r="G465" s="9" t="n">
        <x:v>10.3</x:v>
      </x:c>
      <x:c r="H465" s="9" t="n">
        <x:v>35.9</x:v>
      </x:c>
      <x:c r="I465" s="9" t="n">
        <x:v>87.2</x:v>
      </x:c>
      <x:c r="J465" s="9" t="n">
        <x:v>-0.7</x:v>
      </x:c>
      <x:c r="K465" s="9" t="n">
        <x:v>6.28</x:v>
      </x:c>
      <x:c r="L465" s="3" t="str">
        <x:v>Liquid non-stable USDT pairs: volume &gt;= 10M; up/down threshold +/-1.5%; active logarithmic range threshold 3.0%; quiet active breadth threshold 35%; median direction threshold +/-1.0%.</x:v>
      </x:c>
      <x:c r="M465" s="10" t="n">
        <x:v>1120</x:v>
      </x:c>
      <x:c r="N465" s="3" t="str">
        <x:v>{"recorded_at": 1789469279, "environment": "production", "regime": "ACTIVE / MIXED", "expectation": "Movement is sufficient, but market direction is divided.", "sample_size": 39, "up_pct": 10.3, "down_pct": 35.9, "active_pct": 87.2, "median_change_pct": -0.7, "median_range_pct": 6.28, "formula": "Liquid non-stable USDT pairs: volume &gt;= 10M; up/down threshold +/-1.5%; active logarithmic range threshold 3.0%; quiet active breadth threshold 35%; median direction threshold +/-1.0%."}</x:v>
      </x:c>
    </x:row>
    <x:row r="466" ht="21" customHeight="1">
      <x:c r="A466" s="8" t="n">
        <x:v>46280.58563657408</x:v>
      </x:c>
      <x:c r="B466" s="10" t="n">
        <x:v>1789470199</x:v>
      </x:c>
      <x:c r="C466" s="3" t="str">
        <x:v>production</x:v>
      </x:c>
      <x:c r="D466" s="3" t="str">
        <x:v>ACTIVE / MIXED</x:v>
      </x:c>
      <x:c r="E466" s="3" t="str">
        <x:v>Movement is sufficient, but market direction is divided.</x:v>
      </x:c>
      <x:c r="F466" s="10" t="n">
        <x:v>39</x:v>
      </x:c>
      <x:c r="G466" s="9" t="n">
        <x:v>15.4</x:v>
      </x:c>
      <x:c r="H466" s="9" t="n">
        <x:v>33.3</x:v>
      </x:c>
      <x:c r="I466" s="9" t="n">
        <x:v>87.2</x:v>
      </x:c>
      <x:c r="J466" s="9" t="n">
        <x:v>-0.45</x:v>
      </x:c>
      <x:c r="K466" s="9" t="n">
        <x:v>6.28</x:v>
      </x:c>
      <x:c r="L466" s="3" t="str">
        <x:v>Liquid non-stable USDT pairs: volume &gt;= 10M; up/down threshold +/-1.5%; active logarithmic range threshold 3.0%; quiet active breadth threshold 35%; median direction threshold +/-1.0%.</x:v>
      </x:c>
      <x:c r="M466" s="10" t="n">
        <x:v>1121</x:v>
      </x:c>
      <x:c r="N466" s="3" t="str">
        <x:v>{"recorded_at": 1789470199, "environment": "production", "regime": "ACTIVE / MIXED", "expectation": "Movement is sufficient, but market direction is divided.", "sample_size": 39, "up_pct": 15.4, "down_pct": 33.3, "active_pct": 87.2, "median_change_pct": -0.45, "median_range_pct": 6.28, "formula": "Liquid non-stable USDT pairs: volume &gt;= 10M; up/down threshold +/-1.5%; active logarithmic range threshold 3.0%; quiet active breadth threshold 35%; median direction threshold +/-1.0%."}</x:v>
      </x:c>
    </x:row>
    <x:row r="467" ht="21" customHeight="1">
      <x:c r="A467" s="8" t="n">
        <x:v>46280.59616898148</x:v>
      </x:c>
      <x:c r="B467" s="10" t="n">
        <x:v>1789471109</x:v>
      </x:c>
      <x:c r="C467" s="3" t="str">
        <x:v>production</x:v>
      </x:c>
      <x:c r="D467" s="3" t="str">
        <x:v>ACTIVE / MIXED</x:v>
      </x:c>
      <x:c r="E467" s="3" t="str">
        <x:v>Movement is sufficient, but market direction is divided.</x:v>
      </x:c>
      <x:c r="F467" s="10" t="n">
        <x:v>39</x:v>
      </x:c>
      <x:c r="G467" s="9" t="n">
        <x:v>15.4</x:v>
      </x:c>
      <x:c r="H467" s="9" t="n">
        <x:v>30.8</x:v>
      </x:c>
      <x:c r="I467" s="9" t="n">
        <x:v>87.2</x:v>
      </x:c>
      <x:c r="J467" s="9" t="n">
        <x:v>-0.47</x:v>
      </x:c>
      <x:c r="K467" s="9" t="n">
        <x:v>6.28</x:v>
      </x:c>
      <x:c r="L467" s="3" t="str">
        <x:v>Liquid non-stable USDT pairs: volume &gt;= 10M; up/down threshold +/-1.5%; active logarithmic range threshold 3.0%; quiet active breadth threshold 35%; median direction threshold +/-1.0%.</x:v>
      </x:c>
      <x:c r="M467" s="10" t="n">
        <x:v>1122</x:v>
      </x:c>
      <x:c r="N467" s="3" t="str">
        <x:v>{"recorded_at": 1789471109, "environment": "production", "regime": "ACTIVE / MIXED", "expectation": "Movement is sufficient, but market direction is divided.", "sample_size": 39, "up_pct": 15.4, "down_pct": 30.8, "active_pct": 87.2, "median_change_pct": -0.47, "median_range_pct": 6.28, "formula": "Liquid non-stable USDT pairs: volume &gt;= 10M; up/down threshold +/-1.5%; active logarithmic range threshold 3.0%; quiet active breadth threshold 35%; median direction threshold +/-1.0%."}</x:v>
      </x:c>
    </x:row>
    <x:row r="468" ht="21" customHeight="1">
      <x:c r="A468" s="8" t="n">
        <x:v>46280.60724537037</x:v>
      </x:c>
      <x:c r="B468" s="10" t="n">
        <x:v>1789472066</x:v>
      </x:c>
      <x:c r="C468" s="3" t="str">
        <x:v>production</x:v>
      </x:c>
      <x:c r="D468" s="3" t="str">
        <x:v>ACTIVE / WEAK</x:v>
      </x:c>
      <x:c r="E468" s="3" t="str">
        <x:v>Broad selling pressure is elevated; new longs need caution.</x:v>
      </x:c>
      <x:c r="F468" s="10" t="n">
        <x:v>39</x:v>
      </x:c>
      <x:c r="G468" s="9" t="n">
        <x:v>7.7</x:v>
      </x:c>
      <x:c r="H468" s="9" t="n">
        <x:v>43.6</x:v>
      </x:c>
      <x:c r="I468" s="9" t="n">
        <x:v>87.2</x:v>
      </x:c>
      <x:c r="J468" s="9" t="n">
        <x:v>-1.06</x:v>
      </x:c>
      <x:c r="K468" s="9" t="n">
        <x:v>6.28</x:v>
      </x:c>
      <x:c r="L468" s="3" t="str">
        <x:v>Liquid non-stable USDT pairs: volume &gt;= 10M; up/down threshold +/-1.5%; active logarithmic range threshold 3.0%; quiet active breadth threshold 35%; median direction threshold +/-1.0%.</x:v>
      </x:c>
      <x:c r="M468" s="10" t="n">
        <x:v>1123</x:v>
      </x:c>
      <x:c r="N468" s="3" t="str">
        <x:v>{"recorded_at": 1789472066, "environment": "production", "regime": "ACTIVE / WEAK", "expectation": "Broad selling pressure is elevated; new longs need caution.", "sample_size": 39, "up_pct": 7.7, "down_pct": 43.6, "active_pct": 87.2, "median_change_pct": -1.06, "median_range_pct": 6.28, "formula": "Liquid non-stable USDT pairs: volume &gt;= 10M; up/down threshold +/-1.5%; active logarithmic range threshold 3.0%; quiet active breadth threshold 35%; median direction threshold +/-1.0%."}</x:v>
      </x:c>
    </x:row>
    <x:row r="469" ht="21" customHeight="1">
      <x:c r="A469" s="8" t="n">
        <x:v>46280.61787037037</x:v>
      </x:c>
      <x:c r="B469" s="10" t="n">
        <x:v>1789472984</x:v>
      </x:c>
      <x:c r="C469" s="3" t="str">
        <x:v>production</x:v>
      </x:c>
      <x:c r="D469" s="3" t="str">
        <x:v>ACTIVE / MIXED</x:v>
      </x:c>
      <x:c r="E469" s="3" t="str">
        <x:v>Movement is sufficient, but market direction is divided.</x:v>
      </x:c>
      <x:c r="F469" s="10" t="n">
        <x:v>39</x:v>
      </x:c>
      <x:c r="G469" s="9" t="n">
        <x:v>10.3</x:v>
      </x:c>
      <x:c r="H469" s="9" t="n">
        <x:v>41</x:v>
      </x:c>
      <x:c r="I469" s="9" t="n">
        <x:v>87.2</x:v>
      </x:c>
      <x:c r="J469" s="9" t="n">
        <x:v>-0.78</x:v>
      </x:c>
      <x:c r="K469" s="9" t="n">
        <x:v>6.28</x:v>
      </x:c>
      <x:c r="L469" s="3" t="str">
        <x:v>Liquid non-stable USDT pairs: volume &gt;= 10M; up/down threshold +/-1.5%; active logarithmic range threshold 3.0%; quiet active breadth threshold 35%; median direction threshold +/-1.0%.</x:v>
      </x:c>
      <x:c r="M469" s="10" t="n">
        <x:v>1124</x:v>
      </x:c>
      <x:c r="N469" s="3" t="str">
        <x:v>{"recorded_at": 1789472984, "environment": "production", "regime": "ACTIVE / MIXED", "expectation": "Movement is sufficient, but market direction is divided.", "sample_size": 39, "up_pct": 10.3, "down_pct": 41.0, "active_pct": 87.2, "median_change_pct": -0.78, "median_range_pct": 6.28, "formula": "Liquid non-stable USDT pairs: volume &gt;= 10M; up/down threshold +/-1.5%; active logarithmic range threshold 3.0%; quiet active breadth threshold 35%; median direction threshold +/-1.0%."}</x:v>
      </x:c>
    </x:row>
    <x:row r="470" ht="21" customHeight="1">
      <x:c r="A470" s="8" t="n">
        <x:v>46280.628645833334</x:v>
      </x:c>
      <x:c r="B470" s="10" t="n">
        <x:v>1789473915</x:v>
      </x:c>
      <x:c r="C470" s="3" t="str">
        <x:v>production</x:v>
      </x:c>
      <x:c r="D470" s="3" t="str">
        <x:v>ACTIVE / MIXED</x:v>
      </x:c>
      <x:c r="E470" s="3" t="str">
        <x:v>Movement is sufficient, but market direction is divided.</x:v>
      </x:c>
      <x:c r="F470" s="10" t="n">
        <x:v>39</x:v>
      </x:c>
      <x:c r="G470" s="9" t="n">
        <x:v>10.3</x:v>
      </x:c>
      <x:c r="H470" s="9" t="n">
        <x:v>38.5</x:v>
      </x:c>
      <x:c r="I470" s="9" t="n">
        <x:v>87.2</x:v>
      </x:c>
      <x:c r="J470" s="9" t="n">
        <x:v>-0.38</x:v>
      </x:c>
      <x:c r="K470" s="9" t="n">
        <x:v>6.28</x:v>
      </x:c>
      <x:c r="L470" s="3" t="str">
        <x:v>Liquid non-stable USDT pairs: volume &gt;= 10M; up/down threshold +/-1.5%; active logarithmic range threshold 3.0%; quiet active breadth threshold 35%; median direction threshold +/-1.0%.</x:v>
      </x:c>
      <x:c r="M470" s="10" t="n">
        <x:v>1125</x:v>
      </x:c>
      <x:c r="N470" s="3" t="str">
        <x:v>{"recorded_at": 1789473915, "environment": "production", "regime": "ACTIVE / MIXED", "expectation": "Movement is sufficient, but market direction is divided.", "sample_size": 39, "up_pct": 10.3, "down_pct": 38.5, "active_pct": 87.2, "median_change_pct": -0.38, "median_range_pct": 6.28, "formula": "Liquid non-stable USDT pairs: volume &gt;= 10M; up/down threshold +/-1.5%; active logarithmic range threshold 3.0%; quiet active breadth threshold 35%; median direction threshold +/-1.0%."}</x:v>
      </x:c>
    </x:row>
    <x:row r="471" ht="21" customHeight="1">
      <x:c r="A471" s="8" t="n">
        <x:v>46280.639189814814</x:v>
      </x:c>
      <x:c r="B471" s="10" t="n">
        <x:v>1789474826</x:v>
      </x:c>
      <x:c r="C471" s="3" t="str">
        <x:v>production</x:v>
      </x:c>
      <x:c r="D471" s="3" t="str">
        <x:v>ACTIVE / MIXED</x:v>
      </x:c>
      <x:c r="E471" s="3" t="str">
        <x:v>Movement is sufficient, but market direction is divided.</x:v>
      </x:c>
      <x:c r="F471" s="10" t="n">
        <x:v>39</x:v>
      </x:c>
      <x:c r="G471" s="9" t="n">
        <x:v>12.8</x:v>
      </x:c>
      <x:c r="H471" s="9" t="n">
        <x:v>41</x:v>
      </x:c>
      <x:c r="I471" s="9" t="n">
        <x:v>87.2</x:v>
      </x:c>
      <x:c r="J471" s="9" t="n">
        <x:v>-0.55</x:v>
      </x:c>
      <x:c r="K471" s="9" t="n">
        <x:v>6.28</x:v>
      </x:c>
      <x:c r="L471" s="3" t="str">
        <x:v>Liquid non-stable USDT pairs: volume &gt;= 10M; up/down threshold +/-1.5%; active logarithmic range threshold 3.0%; quiet active breadth threshold 35%; median direction threshold +/-1.0%.</x:v>
      </x:c>
      <x:c r="M471" s="10" t="n">
        <x:v>1126</x:v>
      </x:c>
      <x:c r="N471" s="3" t="str">
        <x:v>{"recorded_at": 1789474826, "environment": "production", "regime": "ACTIVE / MIXED", "expectation": "Movement is sufficient, but market direction is divided.", "sample_size": 39, "up_pct": 12.8, "down_pct": 41.0, "active_pct": 87.2, "median_change_pct": -0.55, "median_range_pct": 6.28, "formula": "Liquid non-stable USDT pairs: volume &gt;= 10M; up/down threshold +/-1.5%; active logarithmic range threshold 3.0%; quiet active breadth threshold 35%; median direction threshold +/-1.0%."}</x:v>
      </x:c>
    </x:row>
    <x:row r="472" ht="21" customHeight="1">
      <x:c r="A472" s="8" t="n">
        <x:v>46280.64969907407</x:v>
      </x:c>
      <x:c r="B472" s="10" t="n">
        <x:v>1789475734</x:v>
      </x:c>
      <x:c r="C472" s="3" t="str">
        <x:v>production</x:v>
      </x:c>
      <x:c r="D472" s="3" t="str">
        <x:v>ACTIVE / MIXED</x:v>
      </x:c>
      <x:c r="E472" s="3" t="str">
        <x:v>Movement is sufficient, but market direction is divided.</x:v>
      </x:c>
      <x:c r="F472" s="10" t="n">
        <x:v>39</x:v>
      </x:c>
      <x:c r="G472" s="9" t="n">
        <x:v>12.8</x:v>
      </x:c>
      <x:c r="H472" s="9" t="n">
        <x:v>30.8</x:v>
      </x:c>
      <x:c r="I472" s="9" t="n">
        <x:v>87.2</x:v>
      </x:c>
      <x:c r="J472" s="9" t="n">
        <x:v>-0.53</x:v>
      </x:c>
      <x:c r="K472" s="9" t="n">
        <x:v>6.28</x:v>
      </x:c>
      <x:c r="L472" s="3" t="str">
        <x:v>Liquid non-stable USDT pairs: volume &gt;= 10M; up/down threshold +/-1.5%; active logarithmic range threshold 3.0%; quiet active breadth threshold 35%; median direction threshold +/-1.0%.</x:v>
      </x:c>
      <x:c r="M472" s="10" t="n">
        <x:v>1127</x:v>
      </x:c>
      <x:c r="N472" s="3" t="str">
        <x:v>{"recorded_at": 1789475734, "environment": "production", "regime": "ACTIVE / MIXED", "expectation": "Movement is sufficient, but market direction is divided.", "sample_size": 39, "up_pct": 12.8, "down_pct": 30.8, "active_pct": 87.2, "median_change_pct": -0.53, "median_range_pct": 6.28, "formula": "Liquid non-stable USDT pairs: volume &gt;= 10M; up/down threshold +/-1.5%; active logarithmic range threshold 3.0%; quiet active breadth threshold 35%; median direction threshold +/-1.0%."}</x:v>
      </x:c>
    </x:row>
    <x:row r="473" ht="21" customHeight="1">
      <x:c r="A473" s="8" t="n">
        <x:v>46280.660162037035</x:v>
      </x:c>
      <x:c r="B473" s="10" t="n">
        <x:v>1789476638</x:v>
      </x:c>
      <x:c r="C473" s="3" t="str">
        <x:v>production</x:v>
      </x:c>
      <x:c r="D473" s="3" t="str">
        <x:v>ACTIVE / MIXED</x:v>
      </x:c>
      <x:c r="E473" s="3" t="str">
        <x:v>Movement is sufficient, but market direction is divided.</x:v>
      </x:c>
      <x:c r="F473" s="10" t="n">
        <x:v>40</x:v>
      </x:c>
      <x:c r="G473" s="9" t="n">
        <x:v>25</x:v>
      </x:c>
      <x:c r="H473" s="9" t="n">
        <x:v>25</x:v>
      </x:c>
      <x:c r="I473" s="9" t="n">
        <x:v>87.5</x:v>
      </x:c>
      <x:c r="J473" s="9" t="n">
        <x:v>-0.02</x:v>
      </x:c>
      <x:c r="K473" s="9" t="n">
        <x:v>6.55</x:v>
      </x:c>
      <x:c r="L473" s="3" t="str">
        <x:v>Liquid non-stable USDT pairs: volume &gt;= 10M; up/down threshold +/-1.5%; active logarithmic range threshold 3.0%; quiet active breadth threshold 35%; median direction threshold +/-1.0%.</x:v>
      </x:c>
      <x:c r="M473" s="10" t="n">
        <x:v>1128</x:v>
      </x:c>
      <x:c r="N473" s="3" t="str">
        <x:v>{"recorded_at": 1789476638, "environment": "production", "regime": "ACTIVE / MIXED", "expectation": "Movement is sufficient, but market direction is divided.", "sample_size": 40, "up_pct": 25.0, "down_pct": 25.0, "active_pct": 87.5, "median_change_pct": -0.02, "median_range_pct": 6.55, "formula": "Liquid non-stable USDT pairs: volume &gt;= 10M; up/down threshold +/-1.5%; active logarithmic range threshold 3.0%; quiet active breadth threshold 35%; median direction threshold +/-1.0%."}</x:v>
      </x:c>
    </x:row>
    <x:row r="474" ht="21" customHeight="1">
      <x:c r="A474" s="8" t="n">
        <x:v>46280.67060185185</x:v>
      </x:c>
      <x:c r="B474" s="10" t="n">
        <x:v>1789477540</x:v>
      </x:c>
      <x:c r="C474" s="3" t="str">
        <x:v>production</x:v>
      </x:c>
      <x:c r="D474" s="3" t="str">
        <x:v>ACTIVE / MIXED</x:v>
      </x:c>
      <x:c r="E474" s="3" t="str">
        <x:v>Movement is sufficient, but market direction is divided.</x:v>
      </x:c>
      <x:c r="F474" s="10" t="n">
        <x:v>40</x:v>
      </x:c>
      <x:c r="G474" s="9" t="n">
        <x:v>37.5</x:v>
      </x:c>
      <x:c r="H474" s="9" t="n">
        <x:v>12.5</x:v>
      </x:c>
      <x:c r="I474" s="9" t="n">
        <x:v>87.5</x:v>
      </x:c>
      <x:c r="J474" s="9" t="n">
        <x:v>0.42</x:v>
      </x:c>
      <x:c r="K474" s="9" t="n">
        <x:v>6.55</x:v>
      </x:c>
      <x:c r="L474" s="3" t="str">
        <x:v>Liquid non-stable USDT pairs: volume &gt;= 10M; up/down threshold +/-1.5%; active logarithmic range threshold 3.0%; quiet active breadth threshold 35%; median direction threshold +/-1.0%.</x:v>
      </x:c>
      <x:c r="M474" s="10" t="n">
        <x:v>1129</x:v>
      </x:c>
      <x:c r="N474" s="3" t="str">
        <x:v>{"recorded_at": 1789477540, "environment": "production", "regime": "ACTIVE / MIXED", "expectation": "Movement is sufficient, but market direction is divided.", "sample_size": 40, "up_pct": 37.5, "down_pct": 12.5, "active_pct": 87.5, "median_change_pct": 0.42, "median_range_pct": 6.55, "formula": "Liquid non-stable USDT pairs: volume &gt;= 10M; up/down threshold +/-1.5%; active logarithmic range threshold 3.0%; quiet active breadth threshold 35%; median direction threshold +/-1.0%."}</x:v>
      </x:c>
    </x:row>
    <x:row r="475" ht="21" customHeight="1">
      <x:c r="A475" s="8" t="n">
        <x:v>46280.6812037037</x:v>
      </x:c>
      <x:c r="B475" s="10" t="n">
        <x:v>1789478456</x:v>
      </x:c>
      <x:c r="C475" s="3" t="str">
        <x:v>production</x:v>
      </x:c>
      <x:c r="D475" s="3" t="str">
        <x:v>ACTIVE / MIXED</x:v>
      </x:c>
      <x:c r="E475" s="3" t="str">
        <x:v>Movement is sufficient, but market direction is divided.</x:v>
      </x:c>
      <x:c r="F475" s="10" t="n">
        <x:v>39</x:v>
      </x:c>
      <x:c r="G475" s="9" t="n">
        <x:v>30.8</x:v>
      </x:c>
      <x:c r="H475" s="9" t="n">
        <x:v>15.4</x:v>
      </x:c>
      <x:c r="I475" s="9" t="n">
        <x:v>87.2</x:v>
      </x:c>
      <x:c r="J475" s="9" t="n">
        <x:v>0.2</x:v>
      </x:c>
      <x:c r="K475" s="9" t="n">
        <x:v>6.28</x:v>
      </x:c>
      <x:c r="L475" s="3" t="str">
        <x:v>Liquid non-stable USDT pairs: volume &gt;= 10M; up/down threshold +/-1.5%; active logarithmic range threshold 3.0%; quiet active breadth threshold 35%; median direction threshold +/-1.0%.</x:v>
      </x:c>
      <x:c r="M475" s="10" t="n">
        <x:v>1130</x:v>
      </x:c>
      <x:c r="N475" s="3" t="str">
        <x:v>{"recorded_at": 1789478456, "environment": "production", "regime": "ACTIVE / MIXED", "expectation": "Movement is sufficient, but market direction is divided.", "sample_size": 39, "up_pct": 30.8, "down_pct": 15.4, "active_pct": 87.2, "median_change_pct": 0.2, "median_range_pct": 6.28, "formula": "Liquid non-stable USDT pairs: volume &gt;= 10M; up/down threshold +/-1.5%; active logarithmic range threshold 3.0%; quiet active breadth threshold 35%; median direction threshold +/-1.0%."}</x:v>
      </x:c>
    </x:row>
    <x:row r="476" ht="21" customHeight="1">
      <x:c r="A476" s="8" t="n">
        <x:v>46280.69190972222</x:v>
      </x:c>
      <x:c r="B476" s="10" t="n">
        <x:v>1789479381</x:v>
      </x:c>
      <x:c r="C476" s="3" t="str">
        <x:v>production</x:v>
      </x:c>
      <x:c r="D476" s="3" t="str">
        <x:v>ACTIVE / MIXED</x:v>
      </x:c>
      <x:c r="E476" s="3" t="str">
        <x:v>Movement is sufficient, but market direction is divided.</x:v>
      </x:c>
      <x:c r="F476" s="10" t="n">
        <x:v>39</x:v>
      </x:c>
      <x:c r="G476" s="9" t="n">
        <x:v>25.6</x:v>
      </x:c>
      <x:c r="H476" s="9" t="n">
        <x:v>33.3</x:v>
      </x:c>
      <x:c r="I476" s="9" t="n">
        <x:v>87.2</x:v>
      </x:c>
      <x:c r="J476" s="9" t="n">
        <x:v>-0.33</x:v>
      </x:c>
      <x:c r="K476" s="9" t="n">
        <x:v>6.28</x:v>
      </x:c>
      <x:c r="L476" s="3" t="str">
        <x:v>Liquid non-stable USDT pairs: volume &gt;= 10M; up/down threshold +/-1.5%; active logarithmic range threshold 3.0%; quiet active breadth threshold 35%; median direction threshold +/-1.0%.</x:v>
      </x:c>
      <x:c r="M476" s="10" t="n">
        <x:v>1131</x:v>
      </x:c>
      <x:c r="N476" s="3" t="str">
        <x:v>{"recorded_at": 1789479381, "environment": "production", "regime": "ACTIVE / MIXED", "expectation": "Movement is sufficient, but market direction is divided.", "sample_size": 39, "up_pct": 25.6, "down_pct": 33.3, "active_pct": 87.2, "median_change_pct": -0.33, "median_range_pct": 6.28, "formula": "Liquid non-stable USDT pairs: volume &gt;= 10M; up/down threshold +/-1.5%; active logarithmic range threshold 3.0%; quiet active breadth threshold 35%; median direction threshold +/-1.0%."}</x:v>
      </x:c>
    </x:row>
    <x:row r="477" ht="21" customHeight="1">
      <x:c r="A477" s="8" t="n">
        <x:v>46280.70239583333</x:v>
      </x:c>
      <x:c r="B477" s="10" t="n">
        <x:v>1789480287</x:v>
      </x:c>
      <x:c r="C477" s="3" t="str">
        <x:v>production</x:v>
      </x:c>
      <x:c r="D477" s="3" t="str">
        <x:v>ACTIVE / MIXED</x:v>
      </x:c>
      <x:c r="E477" s="3" t="str">
        <x:v>Movement is sufficient, but market direction is divided.</x:v>
      </x:c>
      <x:c r="F477" s="10" t="n">
        <x:v>38</x:v>
      </x:c>
      <x:c r="G477" s="9" t="n">
        <x:v>13.2</x:v>
      </x:c>
      <x:c r="H477" s="9" t="n">
        <x:v>39.5</x:v>
      </x:c>
      <x:c r="I477" s="9" t="n">
        <x:v>86.8</x:v>
      </x:c>
      <x:c r="J477" s="9" t="n">
        <x:v>-0.85</x:v>
      </x:c>
      <x:c r="K477" s="9" t="n">
        <x:v>6.37</x:v>
      </x:c>
      <x:c r="L477" s="3" t="str">
        <x:v>Liquid non-stable USDT pairs: volume &gt;= 10M; up/down threshold +/-1.5%; active logarithmic range threshold 3.0%; quiet active breadth threshold 35%; median direction threshold +/-1.0%.</x:v>
      </x:c>
      <x:c r="M477" s="10" t="n">
        <x:v>1132</x:v>
      </x:c>
      <x:c r="N477" s="3" t="str">
        <x:v>{"recorded_at": 1789480287, "environment": "production", "regime": "ACTIVE / MIXED", "expectation": "Movement is sufficient, but market direction is divided.", "sample_size": 38, "up_pct": 13.2, "down_pct": 39.5, "active_pct": 86.8, "median_change_pct": -0.85, "median_range_pct": 6.37, "formula": "Liquid non-stable USDT pairs: volume &gt;= 10M; up/down threshold +/-1.5%; active logarithmic range threshold 3.0%; quiet active breadth threshold 35%; median direction threshold +/-1.0%."}</x:v>
      </x:c>
    </x:row>
    <x:row r="478" ht="21" customHeight="1">
      <x:c r="A478" s="8" t="n">
        <x:v>46280.70538194444</x:v>
      </x:c>
      <x:c r="B478" s="10" t="n">
        <x:v>1789480545</x:v>
      </x:c>
      <x:c r="C478" s="3" t="str">
        <x:v>production</x:v>
      </x:c>
      <x:c r="D478" s="3" t="str">
        <x:v>ACTIVE / MIXED</x:v>
      </x:c>
      <x:c r="E478" s="3" t="str">
        <x:v>Movement is sufficient, but market direction is divided.</x:v>
      </x:c>
      <x:c r="F478" s="10" t="n">
        <x:v>38</x:v>
      </x:c>
      <x:c r="G478" s="9" t="n">
        <x:v>21.1</x:v>
      </x:c>
      <x:c r="H478" s="9" t="n">
        <x:v>36.8</x:v>
      </x:c>
      <x:c r="I478" s="9" t="n">
        <x:v>86.8</x:v>
      </x:c>
      <x:c r="J478" s="9" t="n">
        <x:v>-0.64</x:v>
      </x:c>
      <x:c r="K478" s="9" t="n">
        <x:v>6.37</x:v>
      </x:c>
      <x:c r="L478" s="3" t="str">
        <x:v>Liquid non-stable USDT pairs: volume &gt;= 10M; up/down threshold +/-1.5%; active logarithmic range threshold 3.0%; quiet active breadth threshold 35%; median direction threshold +/-1.0%.</x:v>
      </x:c>
      <x:c r="M478" s="10" t="n">
        <x:v>1133</x:v>
      </x:c>
      <x:c r="N478" s="3" t="str">
        <x:v>{"recorded_at": 1789480545, "environment": "production", "regime": "ACTIVE / MIXED", "expectation": "Movement is sufficient, but market direction is divided.", "sample_size": 38, "up_pct": 21.1, "down_pct": 36.8, "active_pct": 86.8, "median_change_pct": -0.64, "median_range_pct": 6.37, "formula": "Liquid non-stable USDT pairs: volume &gt;= 10M; up/down threshold +/-1.5%; active logarithmic range threshold 3.0%; quiet active breadth threshold 35%; median direction threshold +/-1.0%."}</x:v>
      </x:c>
    </x:row>
  </x:sheetData>
  <x:pageMargins left="0.7" right="0.7" top="0.75" bottom="0.75" header="0.3" footer="0.3"/>
  <x:tableParts count="1">
    <x:tablePart xmlns:r="http://schemas.openxmlformats.org/officeDocument/2006/relationships" r:id="Rb9d06c00997a417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7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</x:cols>
  <x:sheetData>
    <x:row r="2">
      <x:c r="A2" s="1" t="str">
        <x:v>Control changes</x:v>
      </x:c>
    </x:row>
    <x:row r="3">
      <x:c r="A3" t="str">
        <x:v>Source: control_changes.jsonl. Only changes actually logged are available.</x:v>
      </x:c>
    </x:row>
    <x:row r="5" ht="44" customHeight="1">
      <x:c r="A5" s="7" t="str">
        <x:v>time_riyadh</x:v>
      </x:c>
      <x:c r="B5" s="7" t="str">
        <x:v>recorded_at</x:v>
      </x:c>
      <x:c r="C5" s="7" t="str">
        <x:v>saved_at</x:v>
      </x:c>
      <x:c r="D5" s="7" t="str">
        <x:v>event</x:v>
      </x:c>
      <x:c r="E5" s="7" t="str">
        <x:v>changes.max_support_distance_pct.old</x:v>
      </x:c>
      <x:c r="F5" s="7" t="str">
        <x:v>changes.max_support_distance_pct.new</x:v>
      </x:c>
      <x:c r="G5" s="7" t="str">
        <x:v>changes.target_symbols.old</x:v>
      </x:c>
      <x:c r="H5" s="7" t="str">
        <x:v>changes.target_symbols.new</x:v>
      </x:c>
      <x:c r="I5" s="7" t="str">
        <x:v>summary</x:v>
      </x:c>
      <x:c r="J5" s="7" t="str">
        <x:v>source_line</x:v>
      </x:c>
      <x:c r="K5" s="7" t="str">
        <x:v>raw_json</x:v>
      </x:c>
      <x:c r="L5" s="7" t="str">
        <x:v>changes.atr_sl_multiplier.old</x:v>
      </x:c>
      <x:c r="M5" s="7" t="str">
        <x:v>changes.atr_sl_multiplier.new</x:v>
      </x:c>
      <x:c r="N5" s="7" t="str">
        <x:v>changes.risk_reward_ratio.old</x:v>
      </x:c>
      <x:c r="O5" s="7" t="str">
        <x:v>changes.risk_reward_ratio.new</x:v>
      </x:c>
      <x:c r="P5" s="7" t="str">
        <x:v>changes.trade_amount_usdt.old</x:v>
      </x:c>
      <x:c r="Q5" s="7" t="str">
        <x:v>changes.trade_amount_usdt.new</x:v>
      </x:c>
      <x:c r="R5" s="7" t="str">
        <x:v>changes.trend_interval.old</x:v>
      </x:c>
      <x:c r="S5" s="7" t="str">
        <x:v>changes.trend_interval.new</x:v>
      </x:c>
      <x:c r="T5" s="7" t="str">
        <x:v>changes.max_total_exposure_usdt.old</x:v>
      </x:c>
      <x:c r="U5" s="7" t="str">
        <x:v>changes.max_total_exposure_usdt.new</x:v>
      </x:c>
      <x:c r="V5" s="7" t="str">
        <x:v>changes.max_open_positions.old</x:v>
      </x:c>
      <x:c r="W5" s="7" t="str">
        <x:v>changes.max_open_positions.new</x:v>
      </x:c>
      <x:c r="X5" s="7" t="str">
        <x:v>changes.interval.old</x:v>
      </x:c>
      <x:c r="Y5" s="7" t="str">
        <x:v>changes.interval.new</x:v>
      </x:c>
      <x:c r="Z5" s="7" t="str">
        <x:v>changes.min_net_profit_usdt.old</x:v>
      </x:c>
      <x:c r="AA5" s="7" t="str">
        <x:v>changes.min_net_profit_usdt.new</x:v>
      </x:c>
      <x:c r="AB5" s="7" t="str">
        <x:v>changes.min_net_reward_pct.old</x:v>
      </x:c>
      <x:c r="AC5" s="7" t="str">
        <x:v>changes.min_net_reward_pct.new</x:v>
      </x:c>
      <x:c r="AD5" s="7" t="str">
        <x:v>changes.poll_seconds.old</x:v>
      </x:c>
      <x:c r="AE5" s="7" t="str">
        <x:v>changes.poll_seconds.new</x:v>
      </x:c>
      <x:c r="AF5" s="7" t="str">
        <x:v>changes.trend_ema_period.old</x:v>
      </x:c>
      <x:c r="AG5" s="7" t="str">
        <x:v>changes.trend_ema_period.new</x:v>
      </x:c>
      <x:c r="AH5" s="7" t="str">
        <x:v>changes.max_stop_distance_pct.old</x:v>
      </x:c>
      <x:c r="AI5" s="7" t="str">
        <x:v>changes.max_stop_distance_pct.new</x:v>
      </x:c>
      <x:c r="AJ5" s="7" t="str">
        <x:v>changes.ignore_weak_market.old</x:v>
      </x:c>
      <x:c r="AK5" s="7" t="str">
        <x:v>changes.ignore_weak_market.new</x:v>
      </x:c>
    </x:row>
    <x:row r="6" ht="21" customHeight="1">
      <x:c r="A6" s="8" t="n">
        <x:v>46276.16332175926</x:v>
      </x:c>
      <x:c r="B6" s="10" t="n">
        <x:v>1789088111</x:v>
      </x:c>
      <x:c r="C6" s="8" t="n">
        <x:v>46276.03832175926</x:v>
      </x:c>
      <x:c r="D6" s="3" t="str">
        <x:v>controls_changed</x:v>
      </x:c>
      <x:c r="E6" s="3" t="str">
        <x:v>0.7</x:v>
      </x:c>
      <x:c r="F6" s="3" t="str">
        <x:v>0.9</x:v>
      </x:c>
      <x:c r="G6" s="3" t="str">
        <x:v>["MARSCOINUSDT","WLDUSDT","PUMPUSDT","NEARUSDT","ENAUSDT","SAHARAUSDT","UNIUSDT","DASHUSDT","RAYUSDT","IOSTUSDT","TRUMPUSDT","PEPEUSDT","VTHOUSDT","THEUSDT","REZUSDT","HEMIUSDT","ZECUSDT","BCHUSDT","HOLOUSDT","ETHFIUSDT","TAOUSDT","ONDOUSDT","ASTERUSDT","SPCXBUSDT","SNDKBUSDT","SAGAUSDT","ARBUSDT","SUIUSDT","AVAXUSDT","牛来USDT"]</x:v>
      </x:c>
      <x:c r="H6" s="3" t="str">
        <x:v>["MARSCOINUSDT","WLDUSDT","PUMPUSDT","NEARUSDT","ENAUSDT","SAHARAUSDT","UNIUSDT","DASHUSDT","RAYUSDT","IOSTUSDT","TRUMPUSDT","PEPEUSDT","VTHOUSDT","THEUSDT","REZUSDT","HEMIUSDT","ZECUSDT","BCHUSDT","HOLOUSDT","ETHFIUSDT","TAOUSDT","ONDOUSDT","ASTERUSDT","SPCXBUSDT","SNDKBUSDT","SAGAUSDT","ARBUSDT","SUIUSDT","AVAXUSDT"]</x:v>
      </x:c>
      <x:c r="I6" s="3" t="str">
        <x:v>["Targets removed: 牛来USDT","Support distance (%): 0.7 → 0.9"]</x:v>
      </x:c>
      <x:c r="J6" s="10" t="n">
        <x:v>1</x:v>
      </x:c>
      <x:c r="K6" s="3" t="str">
        <x:v>{"recorded_at": 1789088111, "saved_at": "2026-09-11T03:55:11+03:00", "event": "controls_changed", "changes": {"max_support_distance_pct": {"old": "0.7", "new": "0.9"}, "target_symbols": {"old": ["MARSCOINUSDT", "WLDUSDT", "PUMPUSDT", "NEARUSDT", "ENAUSDT", "SAHARAUSDT", "UNIUSDT", "DASHUSDT", "RAYUSDT", "IOSTUSDT", "TRUMPUSDT", "PEPEUSDT", "VTHOUSDT", "THEUSDT", "REZUSDT", "HEMIUSDT", "ZECUSDT", "BCHUSDT", "HOLOUSDT", "ETHFIUSDT", "TAOUSDT", "ONDOUSDT", "ASTERUSDT", "SPCXBUSDT", "SNDKBUSDT", "SAGAUSDT", "ARBUSDT", "SUIUSDT", "AVAXUSDT", "牛来USDT"], "new": ["MARSCOINUSDT", "WLDUSDT", "PUMPUSDT", "NEARUSDT", "ENAUSDT", "SAHARAUSDT", "UNIUSDT", "DASHUSDT", "RAYUSDT", "IOSTUSDT", "TRUMPUSDT", "PEPEUSDT", "VTHOUSDT", "THEUSDT", "REZUSDT", "HEMIUSDT", "ZECUSDT", "BCHUSDT", "HOLOUSDT", "ETHFIUSDT", "TAOUSDT", "ONDOUSDT", "ASTERUSDT", "SPCXBUSDT", "SNDKBUSDT", "SAGAUSDT", "ARBUSDT", "SUIUSDT", "AVAXUSDT"]}}, "summary": ["Targets removed: 牛来USDT", "Support distance (%): 0.7 → 0.9"]}</x:v>
      </x:c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9"/>
      <x:c r="W6" s="9"/>
      <x:c r="X6" s="3"/>
      <x:c r="Y6" s="3"/>
      <x:c r="Z6" s="3"/>
      <x:c r="AA6" s="3"/>
      <x:c r="AB6" s="3"/>
      <x:c r="AC6" s="3"/>
      <x:c r="AD6" s="10"/>
      <x:c r="AE6" s="10"/>
      <x:c r="AF6" s="9"/>
      <x:c r="AG6" s="9"/>
      <x:c r="AH6" s="3"/>
      <x:c r="AI6" s="3"/>
      <x:c r="AJ6" s="3"/>
      <x:c r="AK6" s="3"/>
    </x:row>
    <x:row r="7" ht="21" customHeight="1">
      <x:c r="A7" s="8" t="n">
        <x:v>46276.33015046296</x:v>
      </x:c>
      <x:c r="B7" s="10" t="n">
        <x:v>1789102525</x:v>
      </x:c>
      <x:c r="C7" s="8" t="n">
        <x:v>46276.20515046296</x:v>
      </x:c>
      <x:c r="D7" s="3" t="str">
        <x:v>controls_changed</x:v>
      </x:c>
      <x:c r="E7" s="3"/>
      <x:c r="F7" s="3"/>
      <x:c r="G7" s="3" t="str">
        <x:v>["MARSCOINUSDT","WLDUSDT","PUMPUSDT","NEARUSDT","ENAUSDT","SAHARAUSDT","UNIUSDT","DASHUSDT","RAYUSDT","IOSTUSDT","TRUMPUSDT","PEPEUSDT","VTHOUSDT","THEUSDT","ZECUSDT","BCHUSDT","HOLOUSDT","ETHFIUSDT","TAOUSDT","ONDOUSDT","SPCXBUSDT","SNDKBUSDT","SAGAUSDT","ARBUSDT","SUIUSDT","AVAXUSDT","牛来USDT","DOTUSDT","ADAUSDT","XRPUSDT"]</x:v>
      </x:c>
      <x:c r="H7" s="3" t="str">
        <x:v>["MARSCOINUSDT","WLDUSDT","PUMPUSDT","NEARUSDT","ENAUSDT","SAHARAUSDT","UNIUSDT","DASHUSDT","RAYUSDT","IOSTUSDT","TRUMPUSDT","PEPEUSDT","VTHOUSDT","THEUSDT","ZECUSDT","BCHUSDT","HOLOUSDT","ETHFIUSDT","TAOUSDT","ONDOUSDT","SPCXBUSDT","SNDKBUSDT","SAGAUSDT","ARBUSDT","SUIUSDT","AVAXUSDT","DOTUSDT","ADAUSDT","XRPUSDT"]</x:v>
      </x:c>
      <x:c r="I7" s="3" t="str">
        <x:v>["Targets removed: 牛来USDT","Stop distance (ATR): 1.5 → 2","TP reward/risk: 2 → 2.5"]</x:v>
      </x:c>
      <x:c r="J7" s="10" t="n">
        <x:v>2</x:v>
      </x:c>
      <x:c r="K7" s="3" t="str">
        <x:v>{"recorded_at": 1789102525, "saved_at": "2026-09-11T07:55:25+03:00", "event": "controls_changed", "changes": {"atr_sl_multiplier": {"old": "1.5", "new": "2.0"}, "target_symbols": {"old": ["MARSCOINUSDT", "WLDUSDT", "PUMPUSDT", "NEARUSDT", "ENAUSDT", "SAHARAUSDT", "UNIUSDT", "DASHUSDT", "RAYUSDT", "IOSTUSDT", "TRUMPUSDT", "PEPEUSDT", "VTHOUSDT", "THEUSDT", "ZECUSDT", "BCHUSDT", "HOLOUSDT", "ETHFIUSDT", "TAOUSDT", "ONDOUSDT", "SPCXBUSDT", "SNDKBUSDT", "SAGAUSDT", "ARBUSDT", "SUIUSDT", "AVAXUSDT", "牛来USDT", "DOTUSDT", "ADAUSDT", "XRPUSDT"], "new": ["MARSCOINUSDT", "WLDUSDT", "PUMPUSDT", "NEARUSDT", "ENAUSDT", "SAHARAUSDT", "UNIUSDT", "DASHUSDT", "RAYUSDT", "IOSTUSDT", "TRUMPUSDT", "PEPEUSDT", "VTHOUSDT", "THEUSDT", "ZECUSDT", "BCHUSDT", "HOLOUSDT", "ETHFIUSDT", "TAOUSDT", "ONDOUSDT", "SPCXBUSDT", "SNDKBUSDT", "SAGAUSDT", "ARBUSDT", "SUIUSDT", "AVAXUSDT", "DOTUSDT", "ADAUSDT", "XRPUSDT"]}, "risk_reward_ratio": {"old": "2.0", "new": "2.5"}}, "summary": ["Targets removed: 牛来USDT", "Stop distance (ATR): 1.5 → 2", "TP reward/risk: 2 → 2.5"]}</x:v>
      </x:c>
      <x:c r="L7" s="3" t="str">
        <x:v>1.5</x:v>
      </x:c>
      <x:c r="M7" s="3" t="str">
        <x:v>2.0</x:v>
      </x:c>
      <x:c r="N7" s="3" t="str">
        <x:v>2.0</x:v>
      </x:c>
      <x:c r="O7" s="3" t="str">
        <x:v>2.5</x:v>
      </x:c>
      <x:c r="P7" s="3"/>
      <x:c r="Q7" s="3"/>
      <x:c r="R7" s="3"/>
      <x:c r="S7" s="3"/>
      <x:c r="T7" s="3"/>
      <x:c r="U7" s="3"/>
      <x:c r="V7" s="9"/>
      <x:c r="W7" s="9"/>
      <x:c r="X7" s="3"/>
      <x:c r="Y7" s="3"/>
      <x:c r="Z7" s="3"/>
      <x:c r="AA7" s="3"/>
      <x:c r="AB7" s="3"/>
      <x:c r="AC7" s="3"/>
      <x:c r="AD7" s="10"/>
      <x:c r="AE7" s="10"/>
      <x:c r="AF7" s="9"/>
      <x:c r="AG7" s="9"/>
      <x:c r="AH7" s="3"/>
      <x:c r="AI7" s="3"/>
      <x:c r="AJ7" s="3"/>
      <x:c r="AK7" s="3"/>
    </x:row>
    <x:row r="8" ht="21" customHeight="1">
      <x:c r="A8" s="8" t="n">
        <x:v>46276.879895833335</x:v>
      </x:c>
      <x:c r="B8" s="10" t="n">
        <x:v>1789150023</x:v>
      </x:c>
      <x:c r="C8" s="8" t="n">
        <x:v>46276.754895833335</x:v>
      </x:c>
      <x:c r="D8" s="3" t="str">
        <x:v>controls_changed</x:v>
      </x:c>
      <x:c r="E8" s="3"/>
      <x:c r="F8" s="3"/>
      <x:c r="G8" s="3" t="str">
        <x:v>["MARSCOINUSDT","PUMPUSDT","NEARUSDT","ENAUSDT","SAHARAUSDT","UNIUSDT","DASHUSDT","RAYUSDT","TRUMPUSDT","VTHOUSDT","ZECUSDT","HOLOUSDT","ETHFIUSDT","TAOUSDT","ARBUSDT","SUIUSDT","DOTUSDT","牛来USDT","WLFIUSDT","WLDUSDT","METUSDT","PEPEUSDT","APTUSDT","ETHUSDT","BCHUSDT","XRPUSDT","LINKUSDT","AAVEUSDT","SOLUSDT","ADAUSDT"]</x:v>
      </x:c>
      <x:c r="H8" s="3" t="str">
        <x:v>["MARSCOINUSDT","PUMPUSDT","NEARUSDT","ENAUSDT","SAHARAUSDT","UNIUSDT","DASHUSDT","RAYUSDT","TRUMPUSDT","VTHOUSDT","ZECUSDT","HOLOUSDT","ETHFIUSDT","TAOUSDT","ARBUSDT","SUIUSDT","DOTUSDT","WLFIUSDT","WLDUSDT","METUSDT","PEPEUSDT","APTUSDT","ETHUSDT","BCHUSDT","XRPUSDT","LINKUSDT","AAVEUSDT","SOLUSDT","ADAUSDT"]</x:v>
      </x:c>
      <x:c r="I8" s="3" t="str">
        <x:v>["Targets removed: 牛来USDT","Max exposure (USDT): 120 → 150","USDT per trade: 30 → 50","Max positions: 4 → 3","Candle interval: 15m → 1h","Trend interval: 15m → 4h"]</x:v>
      </x:c>
      <x:c r="J8" s="10" t="n">
        <x:v>3</x:v>
      </x:c>
      <x:c r="K8" s="3" t="str">
        <x:v>{"recorded_at": 1789150023, "saved_at": "2026-09-11T21:07:03+03:00", "event": "controls_changed", "changes": {"trade_amount_usdt": {"old": "30.0", "new": "50.0"}, "trend_interval": {"old": "15m", "new": "4h"}, "max_total_exposure_usdt": {"old": "120.0", "new": "150.0"}, "target_symbols": {"old": ["MARSCOINUSDT", "PUMPUSDT", "NEARUSDT", "ENAUSDT", "SAHARAUSDT", "UNIUSDT", "DASHUSDT", "RAYUSDT", "TRUMPUSDT", "VTHOUSDT", "ZECUSDT", "HOLOUSDT", "ETHFIUSDT", "TAOUSDT", "ARBUSDT", "SUIUSDT", "DOTUSDT", "牛来USDT", "WLFIUSDT", "WLDUSDT", "METUSDT", "PEPEUSDT", "APTUSDT", "ETHUSDT", "BCHUSDT", "XRPUSDT", "LINKUSDT", "AAVEUSDT", "SOLUSDT", "ADAUSDT"], "new": ["MARSCOINUSDT", "PUMPUSDT", "NEARUSDT", "ENAUSDT", "SAHARAUSDT", "UNIUSDT", "DASHUSDT", "RAYUSDT", "TRUMPUSDT", "VTHOUSDT", "ZECUSDT", "HOLOUSDT", "ETHFIUSDT", "TAOUSDT", "ARBUSDT", "SUIUSDT", "DOTUSDT", "WLFIUSDT", "WLDUSDT", "METUSDT", "PEPEUSDT", "APTUSDT", "ETHUSDT", "BCHUSDT", "XRPUSDT", "LINKUSDT", "AAVEUSDT", "SOLUSDT", "ADAUSDT"]}, "max_open_positions": {"old": 4, "new": 3}, "interval": {"old": "15m", "new": "1h"}}, "summary": ["Targets removed: 牛来USDT", "Max exposure (USDT): 120 → 150", "USDT per trade: 30 → 50", "Max positions: 4 → 3", "Candle interval: 15m → 1h", "Trend interval: 15m → 4h"]}</x:v>
      </x:c>
      <x:c r="L8" s="3"/>
      <x:c r="M8" s="3"/>
      <x:c r="N8" s="3"/>
      <x:c r="O8" s="3"/>
      <x:c r="P8" s="3" t="str">
        <x:v>30.0</x:v>
      </x:c>
      <x:c r="Q8" s="3" t="str">
        <x:v>50.0</x:v>
      </x:c>
      <x:c r="R8" s="3" t="str">
        <x:v>15m</x:v>
      </x:c>
      <x:c r="S8" s="3" t="str">
        <x:v>4h</x:v>
      </x:c>
      <x:c r="T8" s="3" t="str">
        <x:v>120.0</x:v>
      </x:c>
      <x:c r="U8" s="3" t="str">
        <x:v>150.0</x:v>
      </x:c>
      <x:c r="V8" s="9" t="n">
        <x:v>4</x:v>
      </x:c>
      <x:c r="W8" s="9" t="n">
        <x:v>3</x:v>
      </x:c>
      <x:c r="X8" s="3" t="str">
        <x:v>15m</x:v>
      </x:c>
      <x:c r="Y8" s="3" t="str">
        <x:v>1h</x:v>
      </x:c>
      <x:c r="Z8" s="3"/>
      <x:c r="AA8" s="3"/>
      <x:c r="AB8" s="3"/>
      <x:c r="AC8" s="3"/>
      <x:c r="AD8" s="10"/>
      <x:c r="AE8" s="10"/>
      <x:c r="AF8" s="9"/>
      <x:c r="AG8" s="9"/>
      <x:c r="AH8" s="3"/>
      <x:c r="AI8" s="3"/>
      <x:c r="AJ8" s="3"/>
      <x:c r="AK8" s="3"/>
    </x:row>
    <x:row r="9" ht="21" customHeight="1">
      <x:c r="A9" s="8" t="n">
        <x:v>46277.01207175926</x:v>
      </x:c>
      <x:c r="B9" s="10" t="n">
        <x:v>1789161443</x:v>
      </x:c>
      <x:c r="C9" s="8" t="n">
        <x:v>46276.88707175926</x:v>
      </x:c>
      <x:c r="D9" s="3" t="str">
        <x:v>controls_changed</x:v>
      </x:c>
      <x:c r="E9" s="3"/>
      <x:c r="F9" s="3"/>
      <x:c r="G9" s="3" t="str">
        <x:v>["MARSCOINUSDT","PUMPUSDT","NEARUSDT","ENAUSDT","SAHARAUSDT","UNIUSDT","DASHUSDT","RAYUSDT","TRUMPUSDT","ZECUSDT","HOLOUSDT","ETHFIUSDT","TAOUSDT","ARBUSDT","SUIUSDT","DOTUSDT","WLFIUSDT","WLDUSDT","METUSDT","PEPEUSDT","APTUSDT","ETHUSDT","BCHUSDT","XRPUSDT","LINKUSDT","AAVEUSDT","SOLUSDT","牛来USDT","FETUSDT","XPLUSDT"]</x:v>
      </x:c>
      <x:c r="H9" s="3" t="str">
        <x:v>["MARSCOINUSDT","PUMPUSDT","NEARUSDT","ENAUSDT","SAHARAUSDT","UNIUSDT","DASHUSDT","RAYUSDT","TRUMPUSDT","ZECUSDT","HOLOUSDT","ETHFIUSDT","TAOUSDT","ARBUSDT","SUIUSDT","DOTUSDT","WLFIUSDT","WLDUSDT","METUSDT","PEPEUSDT","APTUSDT","ETHUSDT","BCHUSDT","XRPUSDT","LINKUSDT","AAVEUSDT","SOLUSDT","FETUSDT","XPLUSDT"]</x:v>
      </x:c>
      <x:c r="I9" s="3" t="str">
        <x:v>["Targets removed: 牛来USDT","Candle interval: 1h → 30m","Trend interval: 4h → 1h"]</x:v>
      </x:c>
      <x:c r="J9" s="10" t="n">
        <x:v>4</x:v>
      </x:c>
      <x:c r="K9" s="3" t="str">
        <x:v>{"recorded_at": 1789161443, "saved_at": "2026-09-12T00:17:23+03:00", "event": "controls_changed", "changes": {"trend_interval": {"old": "4h", "new": "1h"}, "target_symbols": {"old": ["MARSCOINUSDT", "PUMPUSDT", "NEARUSDT", "ENAUSDT", "SAHARAUSDT", "UNIUSDT", "DASHUSDT", "RAYUSDT", "TRUMPUSDT", "ZECUSDT", "HOLOUSDT", "ETHFIUSDT", "TAOUSDT", "ARBUSDT", "SUIUSDT", "DOTUSDT", "WLFIUSDT", "WLDUSDT", "METUSDT", "PEPEUSDT", "APTUSDT", "ETHUSDT", "BCHUSDT", "XRPUSDT", "LINKUSDT", "AAVEUSDT", "SOLUSDT", "牛来USDT", "FETUSDT", "XPLUSDT"], "new": ["MARSCOINUSDT", "PUMPUSDT", "NEARUSDT", "ENAUSDT", "SAHARAUSDT", "UNIUSDT", "DASHUSDT", "RAYUSDT", "TRUMPUSDT", "ZECUSDT", "HOLOUSDT", "ETHFIUSDT", "TAOUSDT", "ARBUSDT", "SUIUSDT", "DOTUSDT", "WLFIUSDT", "WLDUSDT", "METUSDT", "PEPEUSDT", "APTUSDT", "ETHUSDT", "BCHUSDT", "XRPUSDT", "LINKUSDT", "AAVEUSDT", "SOLUSDT", "FETUSDT", "XPLUSDT"]}, "interval": {"old": "1h", "new": "30m"}}, "summary": ["Targets removed: 牛来USDT", "Candle interval: 1h → 30m", "Trend interval: 4h → 1h"]}</x:v>
      </x:c>
      <x:c r="L9" s="3"/>
      <x:c r="M9" s="3"/>
      <x:c r="N9" s="3"/>
      <x:c r="O9" s="3"/>
      <x:c r="P9" s="3"/>
      <x:c r="Q9" s="3"/>
      <x:c r="R9" s="3" t="str">
        <x:v>4h</x:v>
      </x:c>
      <x:c r="S9" s="3" t="str">
        <x:v>1h</x:v>
      </x:c>
      <x:c r="T9" s="3"/>
      <x:c r="U9" s="3"/>
      <x:c r="V9" s="9"/>
      <x:c r="W9" s="9"/>
      <x:c r="X9" s="3" t="str">
        <x:v>1h</x:v>
      </x:c>
      <x:c r="Y9" s="3" t="str">
        <x:v>30m</x:v>
      </x:c>
      <x:c r="Z9" s="3"/>
      <x:c r="AA9" s="3"/>
      <x:c r="AB9" s="3"/>
      <x:c r="AC9" s="3"/>
      <x:c r="AD9" s="10"/>
      <x:c r="AE9" s="10"/>
      <x:c r="AF9" s="9"/>
      <x:c r="AG9" s="9"/>
      <x:c r="AH9" s="3"/>
      <x:c r="AI9" s="3"/>
      <x:c r="AJ9" s="3"/>
      <x:c r="AK9" s="3"/>
    </x:row>
    <x:row r="10" ht="21" customHeight="1">
      <x:c r="A10" s="8" t="n">
        <x:v>46277.69290509259</x:v>
      </x:c>
      <x:c r="B10" s="10" t="n">
        <x:v>1789220267</x:v>
      </x:c>
      <x:c r="C10" s="8" t="n">
        <x:v>46277.56790509259</x:v>
      </x:c>
      <x:c r="D10" s="3" t="str">
        <x:v>controls_changed</x:v>
      </x:c>
      <x:c r="E10" s="3"/>
      <x:c r="F10" s="3"/>
      <x:c r="G10" s="3"/>
      <x:c r="H10" s="3"/>
      <x:c r="I10" s="3" t="str">
        <x:v>["Max positions: 3 → 4"]</x:v>
      </x:c>
      <x:c r="J10" s="10" t="n">
        <x:v>5</x:v>
      </x:c>
      <x:c r="K10" s="3" t="str">
        <x:v>{"recorded_at": 1789220267, "saved_at": "2026-09-12T16:37:47+03:00", "event": "controls_changed", "changes": {"max_open_positions": {"old": 3, "new": 4}}, "summary": ["Max positions: 3 → 4"]}</x:v>
      </x:c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9" t="n">
        <x:v>3</x:v>
      </x:c>
      <x:c r="W10" s="9" t="n">
        <x:v>4</x:v>
      </x:c>
      <x:c r="X10" s="3"/>
      <x:c r="Y10" s="3"/>
      <x:c r="Z10" s="3"/>
      <x:c r="AA10" s="3"/>
      <x:c r="AB10" s="3"/>
      <x:c r="AC10" s="3"/>
      <x:c r="AD10" s="10"/>
      <x:c r="AE10" s="10"/>
      <x:c r="AF10" s="9"/>
      <x:c r="AG10" s="9"/>
      <x:c r="AH10" s="3"/>
      <x:c r="AI10" s="3"/>
      <x:c r="AJ10" s="3"/>
      <x:c r="AK10" s="3"/>
    </x:row>
    <x:row r="11" ht="21" customHeight="1">
      <x:c r="A11" s="8" t="n">
        <x:v>46277.69325231481</x:v>
      </x:c>
      <x:c r="B11" s="10" t="n">
        <x:v>1789220297</x:v>
      </x:c>
      <x:c r="C11" s="8" t="n">
        <x:v>46277.56825231481</x:v>
      </x:c>
      <x:c r="D11" s="3" t="str">
        <x:v>controls_changed</x:v>
      </x:c>
      <x:c r="E11" s="3"/>
      <x:c r="F11" s="3"/>
      <x:c r="G11" s="3"/>
      <x:c r="H11" s="3"/>
      <x:c r="I11" s="3" t="str">
        <x:v>["Max exposure (USDT): 150 → 160","USDT per trade: 50 → 40"]</x:v>
      </x:c>
      <x:c r="J11" s="10" t="n">
        <x:v>6</x:v>
      </x:c>
      <x:c r="K11" s="3" t="str">
        <x:v>{"recorded_at": 1789220297, "saved_at": "2026-09-12T16:38:17+03:00", "event": "controls_changed", "changes": {"trade_amount_usdt": {"old": "50.0", "new": "40.0"}, "max_total_exposure_usdt": {"old": "150.0", "new": "160.0"}}, "summary": ["Max exposure (USDT): 150 → 160", "USDT per trade: 50 → 40"]}</x:v>
      </x:c>
      <x:c r="L11" s="3"/>
      <x:c r="M11" s="3"/>
      <x:c r="N11" s="3"/>
      <x:c r="O11" s="3"/>
      <x:c r="P11" s="3" t="str">
        <x:v>50.0</x:v>
      </x:c>
      <x:c r="Q11" s="3" t="str">
        <x:v>40.0</x:v>
      </x:c>
      <x:c r="R11" s="3"/>
      <x:c r="S11" s="3"/>
      <x:c r="T11" s="3" t="str">
        <x:v>150.0</x:v>
      </x:c>
      <x:c r="U11" s="3" t="str">
        <x:v>160.0</x:v>
      </x:c>
      <x:c r="V11" s="9"/>
      <x:c r="W11" s="9"/>
      <x:c r="X11" s="3"/>
      <x:c r="Y11" s="3"/>
      <x:c r="Z11" s="3"/>
      <x:c r="AA11" s="3"/>
      <x:c r="AB11" s="3"/>
      <x:c r="AC11" s="3"/>
      <x:c r="AD11" s="10"/>
      <x:c r="AE11" s="10"/>
      <x:c r="AF11" s="9"/>
      <x:c r="AG11" s="9"/>
      <x:c r="AH11" s="3"/>
      <x:c r="AI11" s="3"/>
      <x:c r="AJ11" s="3"/>
      <x:c r="AK11" s="3"/>
    </x:row>
    <x:row r="12" ht="21" customHeight="1">
      <x:c r="A12" s="8" t="n">
        <x:v>46277.89518518518</x:v>
      </x:c>
      <x:c r="B12" s="10" t="n">
        <x:v>1789237744</x:v>
      </x:c>
      <x:c r="C12" s="8" t="n">
        <x:v>46277.77018518518</x:v>
      </x:c>
      <x:c r="D12" s="3" t="str">
        <x:v>controls_changed</x:v>
      </x:c>
      <x:c r="E12" s="3"/>
      <x:c r="F12" s="3"/>
      <x:c r="G12" s="3"/>
      <x:c r="H12" s="3"/>
      <x:c r="I12" s="3" t="str">
        <x:v>["Minimum net profit (USDT): 0.5 → 0.1"]</x:v>
      </x:c>
      <x:c r="J12" s="10" t="n">
        <x:v>7</x:v>
      </x:c>
      <x:c r="K12" s="3" t="str">
        <x:v>{"recorded_at": 1789237744, "saved_at": "2026-09-12T21:29:04+03:00", "event": "controls_changed", "changes": {"min_net_profit_usdt": {"old": "0.5", "new": "0.1"}}, "summary": ["Minimum net profit (USDT): 0.5 → 0.1"]}</x:v>
      </x:c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9"/>
      <x:c r="W12" s="9"/>
      <x:c r="X12" s="3"/>
      <x:c r="Y12" s="3"/>
      <x:c r="Z12" s="3" t="str">
        <x:v>0.5</x:v>
      </x:c>
      <x:c r="AA12" s="3" t="str">
        <x:v>0.1</x:v>
      </x:c>
      <x:c r="AB12" s="3"/>
      <x:c r="AC12" s="3"/>
      <x:c r="AD12" s="10"/>
      <x:c r="AE12" s="10"/>
      <x:c r="AF12" s="9"/>
      <x:c r="AG12" s="9"/>
      <x:c r="AH12" s="3"/>
      <x:c r="AI12" s="3"/>
      <x:c r="AJ12" s="3"/>
      <x:c r="AK12" s="3"/>
    </x:row>
    <x:row r="13" ht="21" customHeight="1">
      <x:c r="A13" s="8" t="n">
        <x:v>46277.899097222224</x:v>
      </x:c>
      <x:c r="B13" s="10" t="n">
        <x:v>1789238082</x:v>
      </x:c>
      <x:c r="C13" s="8" t="n">
        <x:v>46277.774097222224</x:v>
      </x:c>
      <x:c r="D13" s="3" t="str">
        <x:v>controls_changed</x:v>
      </x:c>
      <x:c r="E13" s="3"/>
      <x:c r="F13" s="3"/>
      <x:c r="G13" s="3"/>
      <x:c r="H13" s="3"/>
      <x:c r="I13" s="3" t="str">
        <x:v>["Minimum net reward (%): 0.5 → 0.2"]</x:v>
      </x:c>
      <x:c r="J13" s="10" t="n">
        <x:v>8</x:v>
      </x:c>
      <x:c r="K13" s="3" t="str">
        <x:v>{"recorded_at": 1789238082, "saved_at": "2026-09-12T21:34:42+03:00", "event": "controls_changed", "changes": {"min_net_reward_pct": {"old": "0.5", "new": "0.2"}}, "summary": ["Minimum net reward (%): 0.5 → 0.2"]}</x:v>
      </x:c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9"/>
      <x:c r="W13" s="9"/>
      <x:c r="X13" s="3"/>
      <x:c r="Y13" s="3"/>
      <x:c r="Z13" s="3"/>
      <x:c r="AA13" s="3"/>
      <x:c r="AB13" s="3" t="str">
        <x:v>0.5</x:v>
      </x:c>
      <x:c r="AC13" s="3" t="str">
        <x:v>0.2</x:v>
      </x:c>
      <x:c r="AD13" s="10"/>
      <x:c r="AE13" s="10"/>
      <x:c r="AF13" s="9"/>
      <x:c r="AG13" s="9"/>
      <x:c r="AH13" s="3"/>
      <x:c r="AI13" s="3"/>
      <x:c r="AJ13" s="3"/>
      <x:c r="AK13" s="3"/>
    </x:row>
    <x:row r="14" ht="21" customHeight="1">
      <x:c r="A14" s="8" t="n">
        <x:v>46277.904594907406</x:v>
      </x:c>
      <x:c r="B14" s="10" t="n">
        <x:v>1789238557</x:v>
      </x:c>
      <x:c r="C14" s="8" t="n">
        <x:v>46277.779594907406</x:v>
      </x:c>
      <x:c r="D14" s="3" t="str">
        <x:v>controls_changed</x:v>
      </x:c>
      <x:c r="E14" s="3"/>
      <x:c r="F14" s="3"/>
      <x:c r="G14" s="3"/>
      <x:c r="H14" s="3"/>
      <x:c r="I14" s="3" t="str">
        <x:v>["Candle interval: 30m → 5m","Trend interval: 1h → 15m","Full analysis pause (seconds): 15 → 20"]</x:v>
      </x:c>
      <x:c r="J14" s="10" t="n">
        <x:v>9</x:v>
      </x:c>
      <x:c r="K14" s="3" t="str">
        <x:v>{"recorded_at": 1789238557, "saved_at": "2026-09-12T21:42:37+03:00", "event": "controls_changed", "changes": {"interval": {"old": "30m", "new": "5m"}, "poll_seconds": {"old": 15, "new": 20}, "trend_interval": {"old": "1h", "new": "15m"}}, "summary": ["Candle interval: 30m → 5m", "Trend interval: 1h → 15m", "Full analysis pause (seconds): 15 → 20"]}</x:v>
      </x:c>
      <x:c r="L14" s="3"/>
      <x:c r="M14" s="3"/>
      <x:c r="N14" s="3"/>
      <x:c r="O14" s="3"/>
      <x:c r="P14" s="3"/>
      <x:c r="Q14" s="3"/>
      <x:c r="R14" s="3" t="str">
        <x:v>1h</x:v>
      </x:c>
      <x:c r="S14" s="3" t="str">
        <x:v>15m</x:v>
      </x:c>
      <x:c r="T14" s="3"/>
      <x:c r="U14" s="3"/>
      <x:c r="V14" s="9"/>
      <x:c r="W14" s="9"/>
      <x:c r="X14" s="3" t="str">
        <x:v>30m</x:v>
      </x:c>
      <x:c r="Y14" s="3" t="str">
        <x:v>5m</x:v>
      </x:c>
      <x:c r="Z14" s="3"/>
      <x:c r="AA14" s="3"/>
      <x:c r="AB14" s="3"/>
      <x:c r="AC14" s="3"/>
      <x:c r="AD14" s="10" t="n">
        <x:v>15</x:v>
      </x:c>
      <x:c r="AE14" s="10" t="n">
        <x:v>20</x:v>
      </x:c>
      <x:c r="AF14" s="9"/>
      <x:c r="AG14" s="9"/>
      <x:c r="AH14" s="3"/>
      <x:c r="AI14" s="3"/>
      <x:c r="AJ14" s="3"/>
      <x:c r="AK14" s="3"/>
    </x:row>
    <x:row r="15" ht="21" customHeight="1">
      <x:c r="A15" s="8" t="n">
        <x:v>46277.91722222222</x:v>
      </x:c>
      <x:c r="B15" s="10" t="n">
        <x:v>1789239648</x:v>
      </x:c>
      <x:c r="C15" s="8" t="n">
        <x:v>46277.79222222222</x:v>
      </x:c>
      <x:c r="D15" s="3" t="str">
        <x:v>controls_changed</x:v>
      </x:c>
      <x:c r="E15" s="3" t="str">
        <x:v>0.9</x:v>
      </x:c>
      <x:c r="F15" s="3" t="str">
        <x:v>0.5</x:v>
      </x:c>
      <x:c r="G15" s="3"/>
      <x:c r="H15" s="3"/>
      <x:c r="I15" s="3" t="str">
        <x:v>["Support distance (%): 0.9 → 0.5"]</x:v>
      </x:c>
      <x:c r="J15" s="10" t="n">
        <x:v>10</x:v>
      </x:c>
      <x:c r="K15" s="3" t="str">
        <x:v>{"recorded_at": 1789239648, "saved_at": "2026-09-12T22:00:48+03:00", "event": "controls_changed", "changes": {"max_support_distance_pct": {"old": "0.9", "new": "0.5"}}, "summary": ["Support distance (%): 0.9 → 0.5"]}</x:v>
      </x:c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9"/>
      <x:c r="W15" s="9"/>
      <x:c r="X15" s="3"/>
      <x:c r="Y15" s="3"/>
      <x:c r="Z15" s="3"/>
      <x:c r="AA15" s="3"/>
      <x:c r="AB15" s="3"/>
      <x:c r="AC15" s="3"/>
      <x:c r="AD15" s="10"/>
      <x:c r="AE15" s="10"/>
      <x:c r="AF15" s="9"/>
      <x:c r="AG15" s="9"/>
      <x:c r="AH15" s="3"/>
      <x:c r="AI15" s="3"/>
      <x:c r="AJ15" s="3"/>
      <x:c r="AK15" s="3"/>
    </x:row>
    <x:row r="16" ht="21" customHeight="1">
      <x:c r="A16" s="8" t="n">
        <x:v>46277.97008101852</x:v>
      </x:c>
      <x:c r="B16" s="10" t="n">
        <x:v>1789244215</x:v>
      </x:c>
      <x:c r="C16" s="8" t="n">
        <x:v>46277.84508101852</x:v>
      </x:c>
      <x:c r="D16" s="3" t="str">
        <x:v>controls_changed</x:v>
      </x:c>
      <x:c r="E16" s="3"/>
      <x:c r="F16" s="3"/>
      <x:c r="G16" s="3"/>
      <x:c r="H16" s="3"/>
      <x:c r="I16" s="3" t="str">
        <x:v>["Max positions: 4 → 6"]</x:v>
      </x:c>
      <x:c r="J16" s="10" t="n">
        <x:v>11</x:v>
      </x:c>
      <x:c r="K16" s="3" t="str">
        <x:v>{"recorded_at": 1789244215, "saved_at": "2026-09-12T23:16:55+03:00", "event": "controls_changed", "changes": {"max_open_positions": {"old": 4, "new": 6}}, "summary": ["Max positions: 4 → 6"]}</x:v>
      </x:c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9" t="n">
        <x:v>4</x:v>
      </x:c>
      <x:c r="W16" s="9" t="n">
        <x:v>6</x:v>
      </x:c>
      <x:c r="X16" s="3"/>
      <x:c r="Y16" s="3"/>
      <x:c r="Z16" s="3"/>
      <x:c r="AA16" s="3"/>
      <x:c r="AB16" s="3"/>
      <x:c r="AC16" s="3"/>
      <x:c r="AD16" s="10"/>
      <x:c r="AE16" s="10"/>
      <x:c r="AF16" s="9"/>
      <x:c r="AG16" s="9"/>
      <x:c r="AH16" s="3"/>
      <x:c r="AI16" s="3"/>
      <x:c r="AJ16" s="3"/>
      <x:c r="AK16" s="3"/>
    </x:row>
    <x:row r="17" ht="21" customHeight="1">
      <x:c r="A17" s="8" t="n">
        <x:v>46277.976006944446</x:v>
      </x:c>
      <x:c r="B17" s="10" t="n">
        <x:v>1789244727</x:v>
      </x:c>
      <x:c r="C17" s="8" t="n">
        <x:v>46277.851006944446</x:v>
      </x:c>
      <x:c r="D17" s="3" t="str">
        <x:v>controls_changed</x:v>
      </x:c>
      <x:c r="E17" s="3"/>
      <x:c r="F17" s="3"/>
      <x:c r="G17" s="3"/>
      <x:c r="H17" s="3"/>
      <x:c r="I17" s="3" t="str">
        <x:v>["Minimum net profit (USDT): 0.1 → 0.2"]</x:v>
      </x:c>
      <x:c r="J17" s="10" t="n">
        <x:v>12</x:v>
      </x:c>
      <x:c r="K17" s="3" t="str">
        <x:v>{"recorded_at": 1789244727, "saved_at": "2026-09-12T23:25:27+03:00", "event": "controls_changed", "changes": {"min_net_profit_usdt": {"old": "0.1", "new": "0.2"}}, "summary": ["Minimum net profit (USDT): 0.1 → 0.2"]}</x:v>
      </x:c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9"/>
      <x:c r="W17" s="9"/>
      <x:c r="X17" s="3"/>
      <x:c r="Y17" s="3"/>
      <x:c r="Z17" s="3" t="str">
        <x:v>0.1</x:v>
      </x:c>
      <x:c r="AA17" s="3" t="str">
        <x:v>0.2</x:v>
      </x:c>
      <x:c r="AB17" s="3"/>
      <x:c r="AC17" s="3"/>
      <x:c r="AD17" s="10"/>
      <x:c r="AE17" s="10"/>
      <x:c r="AF17" s="9"/>
      <x:c r="AG17" s="9"/>
      <x:c r="AH17" s="3"/>
      <x:c r="AI17" s="3"/>
      <x:c r="AJ17" s="3"/>
      <x:c r="AK17" s="3"/>
    </x:row>
    <x:row r="18" ht="21" customHeight="1">
      <x:c r="A18" s="8" t="n">
        <x:v>46277.97630787037</x:v>
      </x:c>
      <x:c r="B18" s="10" t="n">
        <x:v>1789244753</x:v>
      </x:c>
      <x:c r="C18" s="8" t="n">
        <x:v>46277.85130787037</x:v>
      </x:c>
      <x:c r="D18" s="3" t="str">
        <x:v>controls_changed</x:v>
      </x:c>
      <x:c r="E18" s="3"/>
      <x:c r="F18" s="3"/>
      <x:c r="G18" s="3"/>
      <x:c r="H18" s="3"/>
      <x:c r="I18" s="3" t="str">
        <x:v>["Minimum net reward (%): 0.2 → 0.1"]</x:v>
      </x:c>
      <x:c r="J18" s="10" t="n">
        <x:v>13</x:v>
      </x:c>
      <x:c r="K18" s="3" t="str">
        <x:v>{"recorded_at": 1789244753, "saved_at": "2026-09-12T23:25:53+03:00", "event": "controls_changed", "changes": {"min_net_reward_pct": {"old": "0.2", "new": "0.1"}}, "summary": ["Minimum net reward (%): 0.2 → 0.1"]}</x:v>
      </x:c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9"/>
      <x:c r="W18" s="9"/>
      <x:c r="X18" s="3"/>
      <x:c r="Y18" s="3"/>
      <x:c r="Z18" s="3"/>
      <x:c r="AA18" s="3"/>
      <x:c r="AB18" s="3" t="str">
        <x:v>0.2</x:v>
      </x:c>
      <x:c r="AC18" s="3" t="str">
        <x:v>0.1</x:v>
      </x:c>
      <x:c r="AD18" s="10"/>
      <x:c r="AE18" s="10"/>
      <x:c r="AF18" s="9"/>
      <x:c r="AG18" s="9"/>
      <x:c r="AH18" s="3"/>
      <x:c r="AI18" s="3"/>
      <x:c r="AJ18" s="3"/>
      <x:c r="AK18" s="3"/>
    </x:row>
    <x:row r="19" ht="21" customHeight="1">
      <x:c r="A19" s="8" t="n">
        <x:v>46277.97891203704</x:v>
      </x:c>
      <x:c r="B19" s="10" t="n">
        <x:v>1789244978</x:v>
      </x:c>
      <x:c r="C19" s="8" t="n">
        <x:v>46277.85391203704</x:v>
      </x:c>
      <x:c r="D19" s="3" t="str">
        <x:v>controls_changed</x:v>
      </x:c>
      <x:c r="E19" s="3"/>
      <x:c r="F19" s="3"/>
      <x:c r="G19" s="3"/>
      <x:c r="H19" s="3"/>
      <x:c r="I19" s="3" t="str">
        <x:v>["USDT per trade: 40 → 20"]</x:v>
      </x:c>
      <x:c r="J19" s="10" t="n">
        <x:v>14</x:v>
      </x:c>
      <x:c r="K19" s="3" t="str">
        <x:v>{"recorded_at": 1789244978, "saved_at": "2026-09-12T23:29:38+03:00", "event": "controls_changed", "changes": {"trade_amount_usdt": {"old": "40.0", "new": "20.0"}}, "summary": ["USDT per trade: 40 → 20"]}</x:v>
      </x:c>
      <x:c r="L19" s="3"/>
      <x:c r="M19" s="3"/>
      <x:c r="N19" s="3"/>
      <x:c r="O19" s="3"/>
      <x:c r="P19" s="3" t="str">
        <x:v>40.0</x:v>
      </x:c>
      <x:c r="Q19" s="3" t="str">
        <x:v>20.0</x:v>
      </x:c>
      <x:c r="R19" s="3"/>
      <x:c r="S19" s="3"/>
      <x:c r="T19" s="3"/>
      <x:c r="U19" s="3"/>
      <x:c r="V19" s="9"/>
      <x:c r="W19" s="9"/>
      <x:c r="X19" s="3"/>
      <x:c r="Y19" s="3"/>
      <x:c r="Z19" s="3"/>
      <x:c r="AA19" s="3"/>
      <x:c r="AB19" s="3"/>
      <x:c r="AC19" s="3"/>
      <x:c r="AD19" s="10"/>
      <x:c r="AE19" s="10"/>
      <x:c r="AF19" s="9"/>
      <x:c r="AG19" s="9"/>
      <x:c r="AH19" s="3"/>
      <x:c r="AI19" s="3"/>
      <x:c r="AJ19" s="3"/>
      <x:c r="AK19" s="3"/>
    </x:row>
    <x:row r="20" ht="21" customHeight="1">
      <x:c r="A20" s="8" t="n">
        <x:v>46278.03016203704</x:v>
      </x:c>
      <x:c r="B20" s="10" t="n">
        <x:v>1789249406</x:v>
      </x:c>
      <x:c r="C20" s="8" t="n">
        <x:v>46277.90516203704</x:v>
      </x:c>
      <x:c r="D20" s="3" t="str">
        <x:v>controls_changed</x:v>
      </x:c>
      <x:c r="E20" s="3"/>
      <x:c r="F20" s="3"/>
      <x:c r="G20" s="3"/>
      <x:c r="H20" s="3"/>
      <x:c r="I20" s="3" t="str">
        <x:v>["USDT per trade: 20 → 30"]</x:v>
      </x:c>
      <x:c r="J20" s="10" t="n">
        <x:v>15</x:v>
      </x:c>
      <x:c r="K20" s="3" t="str">
        <x:v>{"recorded_at": 1789249406, "saved_at": "2026-09-13T00:43:26+03:00", "event": "controls_changed", "changes": {"trade_amount_usdt": {"old": "20.0", "new": "30.0"}}, "summary": ["USDT per trade: 20 → 30"]}</x:v>
      </x:c>
      <x:c r="L20" s="3"/>
      <x:c r="M20" s="3"/>
      <x:c r="N20" s="3"/>
      <x:c r="O20" s="3"/>
      <x:c r="P20" s="3" t="str">
        <x:v>20.0</x:v>
      </x:c>
      <x:c r="Q20" s="3" t="str">
        <x:v>30.0</x:v>
      </x:c>
      <x:c r="R20" s="3"/>
      <x:c r="S20" s="3"/>
      <x:c r="T20" s="3"/>
      <x:c r="U20" s="3"/>
      <x:c r="V20" s="9"/>
      <x:c r="W20" s="9"/>
      <x:c r="X20" s="3"/>
      <x:c r="Y20" s="3"/>
      <x:c r="Z20" s="3"/>
      <x:c r="AA20" s="3"/>
      <x:c r="AB20" s="3"/>
      <x:c r="AC20" s="3"/>
      <x:c r="AD20" s="10"/>
      <x:c r="AE20" s="10"/>
      <x:c r="AF20" s="9"/>
      <x:c r="AG20" s="9"/>
      <x:c r="AH20" s="3"/>
      <x:c r="AI20" s="3"/>
      <x:c r="AJ20" s="3"/>
      <x:c r="AK20" s="3"/>
    </x:row>
    <x:row r="21" ht="21" customHeight="1">
      <x:c r="A21" s="8" t="n">
        <x:v>46278.03113425926</x:v>
      </x:c>
      <x:c r="B21" s="10" t="n">
        <x:v>1789249490</x:v>
      </x:c>
      <x:c r="C21" s="8" t="n">
        <x:v>46277.90613425926</x:v>
      </x:c>
      <x:c r="D21" s="3" t="str">
        <x:v>controls_changed</x:v>
      </x:c>
      <x:c r="E21" s="3"/>
      <x:c r="F21" s="3"/>
      <x:c r="G21" s="3"/>
      <x:c r="H21" s="3"/>
      <x:c r="I21" s="3" t="str">
        <x:v>["Max exposure (USDT): 160 → 200"]</x:v>
      </x:c>
      <x:c r="J21" s="10" t="n">
        <x:v>16</x:v>
      </x:c>
      <x:c r="K21" s="3" t="str">
        <x:v>{"recorded_at": 1789249490, "saved_at": "2026-09-13T00:44:50+03:00", "event": "controls_changed", "changes": {"max_total_exposure_usdt": {"old": "160.0", "new": "200.0"}}, "summary": ["Max exposure (USDT): 160 → 200"]}</x:v>
      </x:c>
      <x:c r="L21" s="3"/>
      <x:c r="M21" s="3"/>
      <x:c r="N21" s="3"/>
      <x:c r="O21" s="3"/>
      <x:c r="P21" s="3"/>
      <x:c r="Q21" s="3"/>
      <x:c r="R21" s="3"/>
      <x:c r="S21" s="3"/>
      <x:c r="T21" s="3" t="str">
        <x:v>160.0</x:v>
      </x:c>
      <x:c r="U21" s="3" t="str">
        <x:v>200.0</x:v>
      </x:c>
      <x:c r="V21" s="9"/>
      <x:c r="W21" s="9"/>
      <x:c r="X21" s="3"/>
      <x:c r="Y21" s="3"/>
      <x:c r="Z21" s="3"/>
      <x:c r="AA21" s="3"/>
      <x:c r="AB21" s="3"/>
      <x:c r="AC21" s="3"/>
      <x:c r="AD21" s="10"/>
      <x:c r="AE21" s="10"/>
      <x:c r="AF21" s="9"/>
      <x:c r="AG21" s="9"/>
      <x:c r="AH21" s="3"/>
      <x:c r="AI21" s="3"/>
      <x:c r="AJ21" s="3"/>
      <x:c r="AK21" s="3"/>
    </x:row>
    <x:row r="22" ht="21" customHeight="1">
      <x:c r="A22" s="8" t="n">
        <x:v>46278.03134259259</x:v>
      </x:c>
      <x:c r="B22" s="10" t="n">
        <x:v>1789249508</x:v>
      </x:c>
      <x:c r="C22" s="8" t="n">
        <x:v>46277.90634259259</x:v>
      </x:c>
      <x:c r="D22" s="3" t="str">
        <x:v>controls_changed</x:v>
      </x:c>
      <x:c r="E22" s="3"/>
      <x:c r="F22" s="3"/>
      <x:c r="G22" s="3"/>
      <x:c r="H22" s="3"/>
      <x:c r="I22" s="3" t="str">
        <x:v>["Minimum net profit (USDT): 0.2 → 0.1"]</x:v>
      </x:c>
      <x:c r="J22" s="10" t="n">
        <x:v>17</x:v>
      </x:c>
      <x:c r="K22" s="3" t="str">
        <x:v>{"recorded_at": 1789249508, "saved_at": "2026-09-13T00:45:08+03:00", "event": "controls_changed", "changes": {"min_net_profit_usdt": {"old": "0.2", "new": "0.1"}}, "summary": ["Minimum net profit (USDT): 0.2 → 0.1"]}</x:v>
      </x:c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9"/>
      <x:c r="W22" s="9"/>
      <x:c r="X22" s="3"/>
      <x:c r="Y22" s="3"/>
      <x:c r="Z22" s="3" t="str">
        <x:v>0.2</x:v>
      </x:c>
      <x:c r="AA22" s="3" t="str">
        <x:v>0.1</x:v>
      </x:c>
      <x:c r="AB22" s="3"/>
      <x:c r="AC22" s="3"/>
      <x:c r="AD22" s="10"/>
      <x:c r="AE22" s="10"/>
      <x:c r="AF22" s="9"/>
      <x:c r="AG22" s="9"/>
      <x:c r="AH22" s="3"/>
      <x:c r="AI22" s="3"/>
      <x:c r="AJ22" s="3"/>
      <x:c r="AK22" s="3"/>
    </x:row>
    <x:row r="23" ht="21" customHeight="1">
      <x:c r="A23" s="8" t="n">
        <x:v>46278.03496527778</x:v>
      </x:c>
      <x:c r="B23" s="10" t="n">
        <x:v>1789249821</x:v>
      </x:c>
      <x:c r="C23" s="8" t="n">
        <x:v>46277.90996527778</x:v>
      </x:c>
      <x:c r="D23" s="3" t="str">
        <x:v>controls_changed</x:v>
      </x:c>
      <x:c r="E23" s="3"/>
      <x:c r="F23" s="3"/>
      <x:c r="G23" s="3"/>
      <x:c r="H23" s="3"/>
      <x:c r="I23" s="3" t="str">
        <x:v>["Minimum net reward (%): 0.1 → 0.2"]</x:v>
      </x:c>
      <x:c r="J23" s="10" t="n">
        <x:v>18</x:v>
      </x:c>
      <x:c r="K23" s="3" t="str">
        <x:v>{"recorded_at": 1789249821, "saved_at": "2026-09-13T00:50:21+03:00", "event": "controls_changed", "changes": {"min_net_reward_pct": {"old": "0.1", "new": "0.2"}}, "summary": ["Minimum net reward (%): 0.1 → 0.2"]}</x:v>
      </x:c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9"/>
      <x:c r="W23" s="9"/>
      <x:c r="X23" s="3"/>
      <x:c r="Y23" s="3"/>
      <x:c r="Z23" s="3"/>
      <x:c r="AA23" s="3"/>
      <x:c r="AB23" s="3" t="str">
        <x:v>0.1</x:v>
      </x:c>
      <x:c r="AC23" s="3" t="str">
        <x:v>0.2</x:v>
      </x:c>
      <x:c r="AD23" s="10"/>
      <x:c r="AE23" s="10"/>
      <x:c r="AF23" s="9"/>
      <x:c r="AG23" s="9"/>
      <x:c r="AH23" s="3"/>
      <x:c r="AI23" s="3"/>
      <x:c r="AJ23" s="3"/>
      <x:c r="AK23" s="3"/>
    </x:row>
    <x:row r="24" ht="21" customHeight="1">
      <x:c r="A24" s="8" t="n">
        <x:v>46278.036527777775</x:v>
      </x:c>
      <x:c r="B24" s="10" t="n">
        <x:v>1789249956</x:v>
      </x:c>
      <x:c r="C24" s="8" t="n">
        <x:v>46277.911527777775</x:v>
      </x:c>
      <x:c r="D24" s="3" t="str">
        <x:v>controls_changed</x:v>
      </x:c>
      <x:c r="E24" s="3"/>
      <x:c r="F24" s="3"/>
      <x:c r="G24" s="3"/>
      <x:c r="H24" s="3"/>
      <x:c r="I24" s="3" t="str">
        <x:v>["Trend EMA period: 20 → 10","Maximum stop distance (%): 0.8 → 0.9"]</x:v>
      </x:c>
      <x:c r="J24" s="10" t="n">
        <x:v>19</x:v>
      </x:c>
      <x:c r="K24" s="3" t="str">
        <x:v>{"recorded_at": 1789249956, "saved_at": "2026-09-13T00:52:36+03:00", "event": "controls_changed", "changes": {"trend_ema_period": {"old": 20, "new": 10}, "max_stop_distance_pct": {"old": "0.8", "new": "0.9"}}, "summary": ["Trend EMA period: 20 → 10", "Maximum stop distance (%): 0.8 → 0.9"]}</x:v>
      </x:c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9"/>
      <x:c r="W24" s="9"/>
      <x:c r="X24" s="3"/>
      <x:c r="Y24" s="3"/>
      <x:c r="Z24" s="3"/>
      <x:c r="AA24" s="3"/>
      <x:c r="AB24" s="3"/>
      <x:c r="AC24" s="3"/>
      <x:c r="AD24" s="10"/>
      <x:c r="AE24" s="10"/>
      <x:c r="AF24" s="9" t="n">
        <x:v>20</x:v>
      </x:c>
      <x:c r="AG24" s="9" t="n">
        <x:v>10</x:v>
      </x:c>
      <x:c r="AH24" s="3" t="str">
        <x:v>0.8</x:v>
      </x:c>
      <x:c r="AI24" s="3" t="str">
        <x:v>0.9</x:v>
      </x:c>
      <x:c r="AJ24" s="3"/>
      <x:c r="AK24" s="3"/>
    </x:row>
    <x:row r="25" ht="21" customHeight="1">
      <x:c r="A25" s="8" t="n">
        <x:v>46278.04719907408</x:v>
      </x:c>
      <x:c r="B25" s="10" t="n">
        <x:v>1789250878</x:v>
      </x:c>
      <x:c r="C25" s="8" t="n">
        <x:v>46277.92219907408</x:v>
      </x:c>
      <x:c r="D25" s="3" t="str">
        <x:v>controls_changed</x:v>
      </x:c>
      <x:c r="E25" s="3"/>
      <x:c r="F25" s="3"/>
      <x:c r="G25" s="3"/>
      <x:c r="H25" s="3"/>
      <x:c r="I25" s="3" t="str">
        <x:v>["Minimum net reward (%): 0.2 → 0.05","Maximum stop distance (%): 0.9 → 0.8"]</x:v>
      </x:c>
      <x:c r="J25" s="10" t="n">
        <x:v>20</x:v>
      </x:c>
      <x:c r="K25" s="3" t="str">
        <x:v>{"recorded_at": 1789250878, "saved_at": "2026-09-13T01:07:58+03:00", "event": "controls_changed", "changes": {"max_stop_distance_pct": {"old": "0.9", "new": "0.8"}, "min_net_reward_pct": {"old": "0.2", "new": "0.05"}}, "summary": ["Minimum net reward (%): 0.2 → 0.05", "Maximum stop distance (%): 0.9 → 0.8"]}</x:v>
      </x:c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9"/>
      <x:c r="W25" s="9"/>
      <x:c r="X25" s="3"/>
      <x:c r="Y25" s="3"/>
      <x:c r="Z25" s="3"/>
      <x:c r="AA25" s="3"/>
      <x:c r="AB25" s="3" t="str">
        <x:v>0.2</x:v>
      </x:c>
      <x:c r="AC25" s="3" t="str">
        <x:v>0.05</x:v>
      </x:c>
      <x:c r="AD25" s="10"/>
      <x:c r="AE25" s="10"/>
      <x:c r="AF25" s="9"/>
      <x:c r="AG25" s="9"/>
      <x:c r="AH25" s="3" t="str">
        <x:v>0.9</x:v>
      </x:c>
      <x:c r="AI25" s="3" t="str">
        <x:v>0.8</x:v>
      </x:c>
      <x:c r="AJ25" s="3"/>
      <x:c r="AK25" s="3"/>
    </x:row>
    <x:row r="26" ht="21" customHeight="1">
      <x:c r="A26" s="8" t="n">
        <x:v>46278.0684837963</x:v>
      </x:c>
      <x:c r="B26" s="10" t="n">
        <x:v>1789252717</x:v>
      </x:c>
      <x:c r="C26" s="8" t="n">
        <x:v>46277.9434837963</x:v>
      </x:c>
      <x:c r="D26" s="3" t="str">
        <x:v>controls_changed</x:v>
      </x:c>
      <x:c r="E26" s="3"/>
      <x:c r="F26" s="3"/>
      <x:c r="G26" s="3"/>
      <x:c r="H26" s="3"/>
      <x:c r="I26" s="3" t="str">
        <x:v>["TP reward/risk: 2.5 → 1.5"]</x:v>
      </x:c>
      <x:c r="J26" s="10" t="n">
        <x:v>21</x:v>
      </x:c>
      <x:c r="K26" s="3" t="str">
        <x:v>{"recorded_at": 1789252717, "saved_at": "2026-09-13T01:38:37+03:00", "event": "controls_changed", "changes": {"risk_reward_ratio": {"old": "2.5", "new": "1.5"}}, "summary": ["TP reward/risk: 2.5 → 1.5"]}</x:v>
      </x:c>
      <x:c r="L26" s="3"/>
      <x:c r="M26" s="3"/>
      <x:c r="N26" s="3" t="str">
        <x:v>2.5</x:v>
      </x:c>
      <x:c r="O26" s="3" t="str">
        <x:v>1.5</x:v>
      </x:c>
      <x:c r="P26" s="3"/>
      <x:c r="Q26" s="3"/>
      <x:c r="R26" s="3"/>
      <x:c r="S26" s="3"/>
      <x:c r="T26" s="3"/>
      <x:c r="U26" s="3"/>
      <x:c r="V26" s="9"/>
      <x:c r="W26" s="9"/>
      <x:c r="X26" s="3"/>
      <x:c r="Y26" s="3"/>
      <x:c r="Z26" s="3"/>
      <x:c r="AA26" s="3"/>
      <x:c r="AB26" s="3"/>
      <x:c r="AC26" s="3"/>
      <x:c r="AD26" s="10"/>
      <x:c r="AE26" s="10"/>
      <x:c r="AF26" s="9"/>
      <x:c r="AG26" s="9"/>
      <x:c r="AH26" s="3"/>
      <x:c r="AI26" s="3"/>
      <x:c r="AJ26" s="3"/>
      <x:c r="AK26" s="3"/>
    </x:row>
    <x:row r="27" ht="21" customHeight="1">
      <x:c r="A27" s="8" t="n">
        <x:v>46278.071435185186</x:v>
      </x:c>
      <x:c r="B27" s="10" t="n">
        <x:v>1789252972</x:v>
      </x:c>
      <x:c r="C27" s="8" t="n">
        <x:v>46277.946435185186</x:v>
      </x:c>
      <x:c r="D27" s="3" t="str">
        <x:v>controls_changed</x:v>
      </x:c>
      <x:c r="E27" s="3"/>
      <x:c r="F27" s="3"/>
      <x:c r="G27" s="3"/>
      <x:c r="H27" s="3"/>
      <x:c r="I27" s="3" t="str">
        <x:v>["TP reward/risk: 1.5 → 1.2"]</x:v>
      </x:c>
      <x:c r="J27" s="10" t="n">
        <x:v>22</x:v>
      </x:c>
      <x:c r="K27" s="3" t="str">
        <x:v>{"recorded_at": 1789252972, "saved_at": "2026-09-13T01:42:52+03:00", "event": "controls_changed", "changes": {"risk_reward_ratio": {"old": "1.5", "new": "1.2"}}, "summary": ["TP reward/risk: 1.5 → 1.2"]}</x:v>
      </x:c>
      <x:c r="L27" s="3"/>
      <x:c r="M27" s="3"/>
      <x:c r="N27" s="3" t="str">
        <x:v>1.5</x:v>
      </x:c>
      <x:c r="O27" s="3" t="str">
        <x:v>1.2</x:v>
      </x:c>
      <x:c r="P27" s="3"/>
      <x:c r="Q27" s="3"/>
      <x:c r="R27" s="3"/>
      <x:c r="S27" s="3"/>
      <x:c r="T27" s="3"/>
      <x:c r="U27" s="3"/>
      <x:c r="V27" s="9"/>
      <x:c r="W27" s="9"/>
      <x:c r="X27" s="3"/>
      <x:c r="Y27" s="3"/>
      <x:c r="Z27" s="3"/>
      <x:c r="AA27" s="3"/>
      <x:c r="AB27" s="3"/>
      <x:c r="AC27" s="3"/>
      <x:c r="AD27" s="10"/>
      <x:c r="AE27" s="10"/>
      <x:c r="AF27" s="9"/>
      <x:c r="AG27" s="9"/>
      <x:c r="AH27" s="3"/>
      <x:c r="AI27" s="3"/>
      <x:c r="AJ27" s="3"/>
      <x:c r="AK27" s="3"/>
    </x:row>
    <x:row r="28" ht="21" customHeight="1">
      <x:c r="A28" s="8" t="n">
        <x:v>46278.074907407405</x:v>
      </x:c>
      <x:c r="B28" s="10" t="n">
        <x:v>1789253272</x:v>
      </x:c>
      <x:c r="C28" s="8" t="n">
        <x:v>46277.949907407405</x:v>
      </x:c>
      <x:c r="D28" s="3" t="str">
        <x:v>controls_changed</x:v>
      </x:c>
      <x:c r="E28" s="3"/>
      <x:c r="F28" s="3"/>
      <x:c r="G28" s="3"/>
      <x:c r="H28" s="3"/>
      <x:c r="I28" s="3" t="str">
        <x:v>["Ignore weak-market pause: On → Off"]</x:v>
      </x:c>
      <x:c r="J28" s="10" t="n">
        <x:v>23</x:v>
      </x:c>
      <x:c r="K28" s="3" t="str">
        <x:v>{"recorded_at": 1789253272, "saved_at": "2026-09-13T01:47:52+03:00", "event": "controls_changed", "changes": {"ignore_weak_market": {"old": true, "new": false}}, "summary": ["Ignore weak-market pause: On → Off"]}</x:v>
      </x:c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9"/>
      <x:c r="W28" s="9"/>
      <x:c r="X28" s="3"/>
      <x:c r="Y28" s="3"/>
      <x:c r="Z28" s="3"/>
      <x:c r="AA28" s="3"/>
      <x:c r="AB28" s="3"/>
      <x:c r="AC28" s="3"/>
      <x:c r="AD28" s="10"/>
      <x:c r="AE28" s="10"/>
      <x:c r="AF28" s="9"/>
      <x:c r="AG28" s="9"/>
      <x:c r="AH28" s="3"/>
      <x:c r="AI28" s="3"/>
      <x:c r="AJ28" s="4" t="b">
        <x:v>1</x:v>
      </x:c>
      <x:c r="AK28" s="4" t="b">
        <x:v>0</x:v>
      </x:c>
    </x:row>
    <x:row r="29" ht="21" customHeight="1">
      <x:c r="A29" s="8" t="n">
        <x:v>46278.11440972222</x:v>
      </x:c>
      <x:c r="B29" s="10" t="n">
        <x:v>1789256685</x:v>
      </x:c>
      <x:c r="C29" s="8" t="n">
        <x:v>46277.98940972222</x:v>
      </x:c>
      <x:c r="D29" s="3" t="str">
        <x:v>controls_changed</x:v>
      </x:c>
      <x:c r="E29" s="3"/>
      <x:c r="F29" s="3"/>
      <x:c r="G29" s="3"/>
      <x:c r="H29" s="3"/>
      <x:c r="I29" s="3" t="str">
        <x:v>["Minimum net profit (USDT): 0.1 → 0.05"]</x:v>
      </x:c>
      <x:c r="J29" s="10" t="n">
        <x:v>24</x:v>
      </x:c>
      <x:c r="K29" s="3" t="str">
        <x:v>{"recorded_at": 1789256685, "saved_at": "2026-09-13T02:44:45+03:00", "event": "controls_changed", "changes": {"min_net_profit_usdt": {"old": "0.1", "new": "0.05"}}, "summary": ["Minimum net profit (USDT): 0.1 → 0.05"]}</x:v>
      </x:c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9"/>
      <x:c r="W29" s="9"/>
      <x:c r="X29" s="3"/>
      <x:c r="Y29" s="3"/>
      <x:c r="Z29" s="3" t="str">
        <x:v>0.1</x:v>
      </x:c>
      <x:c r="AA29" s="3" t="str">
        <x:v>0.05</x:v>
      </x:c>
      <x:c r="AB29" s="3"/>
      <x:c r="AC29" s="3"/>
      <x:c r="AD29" s="10"/>
      <x:c r="AE29" s="10"/>
      <x:c r="AF29" s="9"/>
      <x:c r="AG29" s="9"/>
      <x:c r="AH29" s="3"/>
      <x:c r="AI29" s="3"/>
      <x:c r="AJ29" s="3"/>
      <x:c r="AK29" s="3"/>
    </x:row>
    <x:row r="30" ht="21" customHeight="1">
      <x:c r="A30" s="8" t="n">
        <x:v>46278.173171296294</x:v>
      </x:c>
      <x:c r="B30" s="10" t="n">
        <x:v>1789261762</x:v>
      </x:c>
      <x:c r="C30" s="8" t="n">
        <x:v>46278.048171296294</x:v>
      </x:c>
      <x:c r="D30" s="3" t="str">
        <x:v>controls_changed</x:v>
      </x:c>
      <x:c r="E30" s="3"/>
      <x:c r="F30" s="3"/>
      <x:c r="G30" s="3"/>
      <x:c r="H30" s="3"/>
      <x:c r="I30" s="3" t="str">
        <x:v>["TP reward/risk: 1.2 → 1"]</x:v>
      </x:c>
      <x:c r="J30" s="10" t="n">
        <x:v>25</x:v>
      </x:c>
      <x:c r="K30" s="3" t="str">
        <x:v>{"recorded_at": 1789261762, "saved_at": "2026-09-13T04:09:22+03:00", "event": "controls_changed", "changes": {"risk_reward_ratio": {"old": "1.2", "new": "1.0"}}, "summary": ["TP reward/risk: 1.2 → 1"]}</x:v>
      </x:c>
      <x:c r="L30" s="3"/>
      <x:c r="M30" s="3"/>
      <x:c r="N30" s="3" t="str">
        <x:v>1.2</x:v>
      </x:c>
      <x:c r="O30" s="3" t="str">
        <x:v>1.0</x:v>
      </x:c>
      <x:c r="P30" s="3"/>
      <x:c r="Q30" s="3"/>
      <x:c r="R30" s="3"/>
      <x:c r="S30" s="3"/>
      <x:c r="T30" s="3"/>
      <x:c r="U30" s="3"/>
      <x:c r="V30" s="9"/>
      <x:c r="W30" s="9"/>
      <x:c r="X30" s="3"/>
      <x:c r="Y30" s="3"/>
      <x:c r="Z30" s="3"/>
      <x:c r="AA30" s="3"/>
      <x:c r="AB30" s="3"/>
      <x:c r="AC30" s="3"/>
      <x:c r="AD30" s="10"/>
      <x:c r="AE30" s="10"/>
      <x:c r="AF30" s="9"/>
      <x:c r="AG30" s="9"/>
      <x:c r="AH30" s="3"/>
      <x:c r="AI30" s="3"/>
      <x:c r="AJ30" s="3"/>
      <x:c r="AK30" s="3"/>
    </x:row>
    <x:row r="31" ht="21" customHeight="1">
      <x:c r="A31" s="8" t="n">
        <x:v>46278.81391203704</x:v>
      </x:c>
      <x:c r="B31" s="10" t="n">
        <x:v>1789317122</x:v>
      </x:c>
      <x:c r="C31" s="8" t="n">
        <x:v>46278.68891203704</x:v>
      </x:c>
      <x:c r="D31" s="3" t="str">
        <x:v>controls_changed</x:v>
      </x:c>
      <x:c r="E31" s="3"/>
      <x:c r="F31" s="3"/>
      <x:c r="G31" s="3"/>
      <x:c r="H31" s="3"/>
      <x:c r="I31" s="3" t="str">
        <x:v>["Ignore weak-market pause: Off → On"]</x:v>
      </x:c>
      <x:c r="J31" s="10" t="n">
        <x:v>26</x:v>
      </x:c>
      <x:c r="K31" s="3" t="str">
        <x:v>{"recorded_at": 1789317122, "saved_at": "2026-09-13T19:32:02+03:00", "event": "controls_changed", "changes": {"ignore_weak_market": {"old": false, "new": true}}, "summary": ["Ignore weak-market pause: Off → On"]}</x:v>
      </x:c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9"/>
      <x:c r="W31" s="9"/>
      <x:c r="X31" s="3"/>
      <x:c r="Y31" s="3"/>
      <x:c r="Z31" s="3"/>
      <x:c r="AA31" s="3"/>
      <x:c r="AB31" s="3"/>
      <x:c r="AC31" s="3"/>
      <x:c r="AD31" s="10"/>
      <x:c r="AE31" s="10"/>
      <x:c r="AF31" s="9"/>
      <x:c r="AG31" s="9"/>
      <x:c r="AH31" s="3"/>
      <x:c r="AI31" s="3"/>
      <x:c r="AJ31" s="4" t="b">
        <x:v>0</x:v>
      </x:c>
      <x:c r="AK31" s="4" t="b">
        <x:v>1</x:v>
      </x:c>
    </x:row>
    <x:row r="32" ht="21" customHeight="1">
      <x:c r="A32" s="8" t="n">
        <x:v>46280.03053240741</x:v>
      </x:c>
      <x:c r="B32" s="10" t="n">
        <x:v>1789422238</x:v>
      </x:c>
      <x:c r="C32" s="8" t="n">
        <x:v>46279.90553240741</x:v>
      </x:c>
      <x:c r="D32" s="3" t="str">
        <x:v>controls_changed</x:v>
      </x:c>
      <x:c r="E32" s="3"/>
      <x:c r="F32" s="3"/>
      <x:c r="G32" s="3"/>
      <x:c r="H32" s="3"/>
      <x:c r="I32" s="3" t="str">
        <x:v>["Stop distance (ATR): 2 → 1.5"]</x:v>
      </x:c>
      <x:c r="J32" s="10" t="n">
        <x:v>27</x:v>
      </x:c>
      <x:c r="K32" s="3" t="str">
        <x:v>{"recorded_at": 1789422238, "saved_at": "2026-09-15T00:43:58+03:00", "event": "controls_changed", "changes": {"atr_sl_multiplier": {"old": "2.0", "new": "1.5"}}, "summary": ["Stop distance (ATR): 2 → 1.5"]}</x:v>
      </x:c>
      <x:c r="L32" s="3" t="str">
        <x:v>2.0</x:v>
      </x:c>
      <x:c r="M32" s="3" t="str">
        <x:v>1.5</x:v>
      </x:c>
      <x:c r="N32" s="3"/>
      <x:c r="O32" s="3"/>
      <x:c r="P32" s="3"/>
      <x:c r="Q32" s="3"/>
      <x:c r="R32" s="3"/>
      <x:c r="S32" s="3"/>
      <x:c r="T32" s="3"/>
      <x:c r="U32" s="3"/>
      <x:c r="V32" s="9"/>
      <x:c r="W32" s="9"/>
      <x:c r="X32" s="3"/>
      <x:c r="Y32" s="3"/>
      <x:c r="Z32" s="3"/>
      <x:c r="AA32" s="3"/>
      <x:c r="AB32" s="3"/>
      <x:c r="AC32" s="3"/>
      <x:c r="AD32" s="10"/>
      <x:c r="AE32" s="10"/>
      <x:c r="AF32" s="9"/>
      <x:c r="AG32" s="9"/>
      <x:c r="AH32" s="3"/>
      <x:c r="AI32" s="3"/>
      <x:c r="AJ32" s="3"/>
      <x:c r="AK32" s="3"/>
    </x:row>
    <x:row r="33" ht="21" customHeight="1">
      <x:c r="A33" s="8" t="n">
        <x:v>46280.70276620371</x:v>
      </x:c>
      <x:c r="B33" s="10" t="n">
        <x:v>1789480319</x:v>
      </x:c>
      <x:c r="C33" s="8" t="n">
        <x:v>46280.57776620371</x:v>
      </x:c>
      <x:c r="D33" s="3" t="str">
        <x:v>controls_changed</x:v>
      </x:c>
      <x:c r="E33" s="3"/>
      <x:c r="F33" s="3"/>
      <x:c r="G33" s="3"/>
      <x:c r="H33" s="3"/>
      <x:c r="I33" s="3" t="str">
        <x:v>["Ignore weak-market pause: On → Off"]</x:v>
      </x:c>
      <x:c r="J33" s="10" t="n">
        <x:v>28</x:v>
      </x:c>
      <x:c r="K33" s="3" t="str">
        <x:v>{"recorded_at": 1789480319, "saved_at": "2026-09-15T16:51:59+03:00", "event": "controls_changed", "changes": {"ignore_weak_market": {"old": true, "new": false}}, "summary": ["Ignore weak-market pause: On → Off"]}</x:v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9"/>
      <x:c r="W33" s="9"/>
      <x:c r="X33" s="3"/>
      <x:c r="Y33" s="3"/>
      <x:c r="Z33" s="3"/>
      <x:c r="AA33" s="3"/>
      <x:c r="AB33" s="3"/>
      <x:c r="AC33" s="3"/>
      <x:c r="AD33" s="10"/>
      <x:c r="AE33" s="10"/>
      <x:c r="AF33" s="9"/>
      <x:c r="AG33" s="9"/>
      <x:c r="AH33" s="3"/>
      <x:c r="AI33" s="3"/>
      <x:c r="AJ33" s="4" t="b">
        <x:v>1</x:v>
      </x:c>
      <x:c r="AK33" s="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bd27055ee145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4" hidden="0" customWidth="1"/>
    <x:col min="17" max="17" width="20" hidden="0" customWidth="1"/>
  </x:cols>
  <x:sheetData>
    <x:row r="2">
      <x:c r="A2" s="1" t="str">
        <x:v>Current positions</x:v>
      </x:c>
    </x:row>
    <x:row r="3">
      <x:c r="A3" t="str">
        <x:v>Source: trade_state.json, snapshot at export. Current positions are not historical closing balances.</x:v>
      </x:c>
    </x:row>
    <x:row r="5" ht="44" customHeight="1">
      <x:c r="A5" s="7" t="str">
        <x:v>symbol</x:v>
      </x:c>
      <x:c r="B5" s="7" t="str">
        <x:v>quantity</x:v>
      </x:c>
      <x:c r="C5" s="7" t="str">
        <x:v>entry</x:v>
      </x:c>
      <x:c r="D5" s="7" t="str">
        <x:v>stop_loss</x:v>
      </x:c>
      <x:c r="E5" s="7" t="str">
        <x:v>take_profit</x:v>
      </x:c>
      <x:c r="F5" s="7" t="str">
        <x:v>base_asset</x:v>
      </x:c>
      <x:c r="G5" s="7" t="str">
        <x:v>quote_asset</x:v>
      </x:c>
      <x:c r="H5" s="7" t="str">
        <x:v>order_id</x:v>
      </x:c>
      <x:c r="I5" s="7" t="str">
        <x:v>strategy_take_profit</x:v>
      </x:c>
      <x:c r="J5" s="7" t="str">
        <x:v>entry_conditions.rsi_recovered</x:v>
      </x:c>
      <x:c r="K5" s="7" t="str">
        <x:v>entry_conditions.near_support</x:v>
      </x:c>
      <x:c r="L5" s="7" t="str">
        <x:v>entry_conditions.trend_ok</x:v>
      </x:c>
      <x:c r="M5" s="7" t="str">
        <x:v>entry_conditions.reward_ok</x:v>
      </x:c>
      <x:c r="N5" s="7" t="str">
        <x:v>entry_conditions.stop_risk_ok</x:v>
      </x:c>
      <x:c r="O5" s="7" t="str">
        <x:v>entry_conditions.momentum_ok</x:v>
      </x:c>
      <x:c r="P5" s="7" t="str">
        <x:v>signal_candle_close_time</x:v>
      </x:c>
      <x:c r="Q5" s="7" t="str">
        <x:v>opened_at</x:v>
      </x:c>
    </x:row>
    <x:row r="6" ht="21" customHeight="1">
      <x:c r="A6" s="3" t="str">
        <x:v>NEARUSDT</x:v>
      </x:c>
      <x:c r="B6" s="9" t="n">
        <x:v>12.5</x:v>
      </x:c>
      <x:c r="C6" s="9" t="n">
        <x:v>2.382</x:v>
      </x:c>
      <x:c r="D6" s="9" t="n">
        <x:v>2.36325</x:v>
      </x:c>
      <x:c r="E6" s="9" t="n">
        <x:v>2.40075</x:v>
      </x:c>
      <x:c r="F6" s="3" t="str">
        <x:v>NEAR</x:v>
      </x:c>
      <x:c r="G6" s="3" t="str">
        <x:v>USDT</x:v>
      </x:c>
      <x:c r="H6" s="3" t="str">
        <x:v>5128898767</x:v>
      </x:c>
      <x:c r="I6" s="9" t="n">
        <x:v>2.40075</x:v>
      </x:c>
      <x:c r="J6" s="4" t="b">
        <x:v>0</x:v>
      </x:c>
      <x:c r="K6" s="4" t="b">
        <x:v>1</x:v>
      </x:c>
      <x:c r="L6" s="4" t="b">
        <x:v>1</x:v>
      </x:c>
      <x:c r="M6" s="4" t="b">
        <x:v>1</x:v>
      </x:c>
      <x:c r="N6" s="4" t="b">
        <x:v>1</x:v>
      </x:c>
      <x:c r="O6" s="4" t="b">
        <x:v>1</x:v>
      </x:c>
      <x:c r="P6" s="9" t="n">
        <x:v>1789479599999</x:v>
      </x:c>
      <x:c r="Q6" s="9" t="n">
        <x:v>1789479634</x:v>
      </x:c>
    </x:row>
    <x:row r="7" ht="21" customHeight="1">
      <x:c r="A7" s="3" t="str">
        <x:v>AVAXUSDT</x:v>
      </x:c>
      <x:c r="B7" s="9" t="n">
        <x:v>3.98</x:v>
      </x:c>
      <x:c r="C7" s="9" t="n">
        <x:v>7.537</x:v>
      </x:c>
      <x:c r="D7" s="9" t="n">
        <x:v>7.496714285714286</x:v>
      </x:c>
      <x:c r="E7" s="9" t="n">
        <x:v>7.577285714285715</x:v>
      </x:c>
      <x:c r="F7" s="3" t="str">
        <x:v>AVAX</x:v>
      </x:c>
      <x:c r="G7" s="3" t="str">
        <x:v>USDT</x:v>
      </x:c>
      <x:c r="H7" s="3" t="str">
        <x:v>5736655065</x:v>
      </x:c>
      <x:c r="I7" s="9" t="n">
        <x:v>7.577285714285715</x:v>
      </x:c>
      <x:c r="J7" s="4" t="b">
        <x:v>0</x:v>
      </x:c>
      <x:c r="K7" s="4" t="b">
        <x:v>1</x:v>
      </x:c>
      <x:c r="L7" s="4" t="b">
        <x:v>1</x:v>
      </x:c>
      <x:c r="M7" s="4" t="b">
        <x:v>1</x:v>
      </x:c>
      <x:c r="N7" s="4" t="b">
        <x:v>1</x:v>
      </x:c>
      <x:c r="O7" s="4" t="b">
        <x:v>1</x:v>
      </x:c>
      <x:c r="P7" s="9" t="n">
        <x:v>1789479599999</x:v>
      </x:c>
      <x:c r="Q7" s="9" t="n">
        <x:v>1789479639</x:v>
      </x:c>
    </x:row>
    <x:row r="8" ht="21" customHeight="1">
      <x:c r="A8" s="3" t="str">
        <x:v>LINKUSDT</x:v>
      </x:c>
      <x:c r="B8" s="9" t="n">
        <x:v>2.57</x:v>
      </x:c>
      <x:c r="C8" s="9" t="n">
        <x:v>11.372824902723735</x:v>
      </x:c>
      <x:c r="D8" s="9" t="n">
        <x:v>11.31003918843802</x:v>
      </x:c>
      <x:c r="E8" s="9" t="n">
        <x:v>11.43561061700945</x:v>
      </x:c>
      <x:c r="F8" s="3" t="str">
        <x:v>LINK</x:v>
      </x:c>
      <x:c r="G8" s="3" t="str">
        <x:v>USDT</x:v>
      </x:c>
      <x:c r="H8" s="3" t="str">
        <x:v>8013541860</x:v>
      </x:c>
      <x:c r="I8" s="9" t="n">
        <x:v>11.43561061700945</x:v>
      </x:c>
      <x:c r="J8" s="4" t="b">
        <x:v>0</x:v>
      </x:c>
      <x:c r="K8" s="4" t="b">
        <x:v>1</x:v>
      </x:c>
      <x:c r="L8" s="4" t="b">
        <x:v>1</x:v>
      </x:c>
      <x:c r="M8" s="4" t="b">
        <x:v>1</x:v>
      </x:c>
      <x:c r="N8" s="4" t="b">
        <x:v>1</x:v>
      </x:c>
      <x:c r="O8" s="4" t="b">
        <x:v>1</x:v>
      </x:c>
      <x:c r="P8" s="9" t="n">
        <x:v>1789479599999</x:v>
      </x:c>
      <x:c r="Q8" s="9" t="n">
        <x:v>1789479641</x:v>
      </x:c>
    </x:row>
    <x:row r="9" ht="21" customHeight="1">
      <x:c r="A9" s="3" t="str">
        <x:v>TRUMPUSDT</x:v>
      </x:c>
      <x:c r="B9" s="9" t="n">
        <x:v>12.343</x:v>
      </x:c>
      <x:c r="C9" s="9" t="n">
        <x:v>1.977</x:v>
      </x:c>
      <x:c r="D9" s="9" t="n">
        <x:v>1.9639285714285715</x:v>
      </x:c>
      <x:c r="E9" s="9" t="n">
        <x:v>1.9900714285714287</x:v>
      </x:c>
      <x:c r="F9" s="3" t="str">
        <x:v>TRUMP</x:v>
      </x:c>
      <x:c r="G9" s="3" t="str">
        <x:v>USDT</x:v>
      </x:c>
      <x:c r="H9" s="3" t="str">
        <x:v>2084029750</x:v>
      </x:c>
      <x:c r="I9" s="9" t="n">
        <x:v>1.9900714285714287</x:v>
      </x:c>
      <x:c r="J9" s="4" t="b">
        <x:v>0</x:v>
      </x:c>
      <x:c r="K9" s="4" t="b">
        <x:v>1</x:v>
      </x:c>
      <x:c r="L9" s="4" t="b">
        <x:v>1</x:v>
      </x:c>
      <x:c r="M9" s="4" t="b">
        <x:v>1</x:v>
      </x:c>
      <x:c r="N9" s="4" t="b">
        <x:v>1</x:v>
      </x:c>
      <x:c r="O9" s="4" t="b">
        <x:v>1</x:v>
      </x:c>
      <x:c r="P9" s="9" t="n">
        <x:v>1789479599999</x:v>
      </x:c>
      <x:c r="Q9" s="9" t="n">
        <x:v>1789479679</x:v>
      </x:c>
    </x:row>
  </x:sheetData>
  <x:pageMargins left="0.7" right="0.7" top="0.75" bottom="0.75" header="0.3" footer="0.3"/>
  <x:tableParts count="1">
    <x:tablePart xmlns:r="http://schemas.openxmlformats.org/officeDocument/2006/relationships" r:id="R3f3969853b8542c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00" hidden="0" customWidth="1"/>
  </x:cols>
  <x:sheetData>
    <x:row r="2">
      <x:c r="A2" s="1" t="str">
        <x:v>Current settings</x:v>
      </x:c>
    </x:row>
    <x:row r="3">
      <x:c r="A3" t="str">
        <x:v>Source: bot_config.json, snapshot at export. These settings must not be assumed to apply to earlier trades.</x:v>
      </x:c>
    </x:row>
    <x:row r="5" ht="44" customHeight="1">
      <x:c r="A5" s="7" t="str">
        <x:v>setting</x:v>
      </x:c>
      <x:c r="B5" s="7" t="str">
        <x:v>value</x:v>
      </x:c>
    </x:row>
    <x:row r="6" ht="100" customHeight="1">
      <x:c r="A6" s="3" t="str">
        <x:v>target_symbols</x:v>
      </x:c>
      <x:c r="B6" s="13" t="str">
        <x:v>["MARSCOINUSDT","PUMPUSDT","NEARUSDT","UNIUSDT","ZECUSDT","PEPEUSDT","牛来USDT","REZUSDT","LSKUSDT","XRPUSDT","ARBUSDT","FILUSDT","ENAUSDT","AVAXUSDT","CRCLBUSDT","LINKUSDT","AAVEUSDT","ETHUSDT","WLDUSDT","ADAUSDT","SUIUSDT","TRUMPUSDT","FFUSDT","TAOUSDT","SOLUSDT","DOGEUSDT","ASTRUSDT","XLMUSDT","BTCUSDT","LTCUSDT"]</x:v>
      </x:c>
    </x:row>
    <x:row r="7" ht="21" customHeight="1">
      <x:c r="A7" s="3" t="str">
        <x:v>max_total_exposure_usdt</x:v>
      </x:c>
      <x:c r="B7" s="9" t="str">
        <x:v>200.0</x:v>
      </x:c>
    </x:row>
    <x:row r="8" ht="21" customHeight="1">
      <x:c r="A8" s="3" t="str">
        <x:v>trade_amount_usdt</x:v>
      </x:c>
      <x:c r="B8" s="9" t="str">
        <x:v>30.0</x:v>
      </x:c>
    </x:row>
    <x:row r="9" ht="21" customHeight="1">
      <x:c r="A9" s="3" t="str">
        <x:v>max_open_positions</x:v>
      </x:c>
      <x:c r="B9" s="9" t="n">
        <x:v>6</x:v>
      </x:c>
    </x:row>
    <x:row r="10" ht="21" customHeight="1">
      <x:c r="A10" s="3" t="str">
        <x:v>trading_on_hold</x:v>
      </x:c>
      <x:c r="B10" s="12" t="b">
        <x:v>0</x:v>
      </x:c>
    </x:row>
    <x:row r="11" ht="21" customHeight="1">
      <x:c r="A11" s="3" t="str">
        <x:v>interval</x:v>
      </x:c>
      <x:c r="B11" s="9" t="str">
        <x:v>5m</x:v>
      </x:c>
    </x:row>
    <x:row r="12" ht="21" customHeight="1">
      <x:c r="A12" s="3" t="str">
        <x:v>buy_rsi_recovery</x:v>
      </x:c>
      <x:c r="B12" s="9" t="str">
        <x:v>35.0</x:v>
      </x:c>
    </x:row>
    <x:row r="13" ht="21" customHeight="1">
      <x:c r="A13" s="3" t="str">
        <x:v>max_support_distance_pct</x:v>
      </x:c>
      <x:c r="B13" s="9" t="str">
        <x:v>0.5</x:v>
      </x:c>
    </x:row>
    <x:row r="14" ht="21" customHeight="1">
      <x:c r="A14" s="3" t="str">
        <x:v>trend_interval</x:v>
      </x:c>
      <x:c r="B14" s="9" t="str">
        <x:v>15m</x:v>
      </x:c>
    </x:row>
    <x:row r="15" ht="21" customHeight="1">
      <x:c r="A15" s="3" t="str">
        <x:v>trend_ema_period</x:v>
      </x:c>
      <x:c r="B15" s="9" t="n">
        <x:v>10</x:v>
      </x:c>
    </x:row>
    <x:row r="16" ht="21" customHeight="1">
      <x:c r="A16" s="3" t="str">
        <x:v>min_net_reward_pct</x:v>
      </x:c>
      <x:c r="B16" s="9" t="str">
        <x:v>0.05</x:v>
      </x:c>
    </x:row>
    <x:row r="17" ht="21" customHeight="1">
      <x:c r="A17" s="3" t="str">
        <x:v>min_net_profit_usdt</x:v>
      </x:c>
      <x:c r="B17" s="9" t="str">
        <x:v>0.05</x:v>
      </x:c>
    </x:row>
    <x:row r="18" ht="21" customHeight="1">
      <x:c r="A18" s="3" t="str">
        <x:v>estimated_round_trip_fee_pct</x:v>
      </x:c>
      <x:c r="B18" s="9" t="str">
        <x:v>0.2</x:v>
      </x:c>
    </x:row>
    <x:row r="19" ht="21" customHeight="1">
      <x:c r="A19" s="3" t="str">
        <x:v>atr_sl_multiplier</x:v>
      </x:c>
      <x:c r="B19" s="9" t="str">
        <x:v>1.5</x:v>
      </x:c>
    </x:row>
    <x:row r="20" ht="21" customHeight="1">
      <x:c r="A20" s="3" t="str">
        <x:v>max_stop_distance_pct</x:v>
      </x:c>
      <x:c r="B20" s="9" t="str">
        <x:v>0.8</x:v>
      </x:c>
    </x:row>
    <x:row r="21" ht="21" customHeight="1">
      <x:c r="A21" s="3" t="str">
        <x:v>risk_reward_ratio</x:v>
      </x:c>
      <x:c r="B21" s="9" t="str">
        <x:v>1.0</x:v>
      </x:c>
    </x:row>
    <x:row r="22" ht="21" customHeight="1">
      <x:c r="A22" s="3" t="str">
        <x:v>sell_rsi_threshold</x:v>
      </x:c>
      <x:c r="B22" s="9" t="str">
        <x:v>65.0</x:v>
      </x:c>
    </x:row>
    <x:row r="23" ht="21" customHeight="1">
      <x:c r="A23" s="3" t="str">
        <x:v>poll_seconds</x:v>
      </x:c>
      <x:c r="B23" s="9" t="n">
        <x:v>20</x:v>
      </x:c>
    </x:row>
    <x:row r="24" ht="21" customHeight="1">
      <x:c r="A24" s="3" t="str">
        <x:v>live_price_refresh_seconds</x:v>
      </x:c>
      <x:c r="B24" s="9" t="n">
        <x:v>2</x:v>
      </x:c>
    </x:row>
    <x:row r="25" ht="21" customHeight="1">
      <x:c r="A25" s="3" t="str">
        <x:v>updated_at</x:v>
      </x:c>
      <x:c r="B25" s="9" t="n">
        <x:v>1789480334</x:v>
      </x:c>
    </x:row>
    <x:row r="26" ht="21" customHeight="1">
      <x:c r="A26" s="3" t="str">
        <x:v>auto_remove_avoided</x:v>
      </x:c>
      <x:c r="B26" s="12" t="b">
        <x:v>1</x:v>
      </x:c>
    </x:row>
    <x:row r="27" ht="21" customHeight="1">
      <x:c r="A27" s="3" t="str">
        <x:v>auto_add_candidates</x:v>
      </x:c>
      <x:c r="B27" s="12" t="b">
        <x:v>1</x:v>
      </x:c>
    </x:row>
    <x:row r="28" ht="21" customHeight="1">
      <x:c r="A28" s="3" t="str">
        <x:v>rsi_recovery_window</x:v>
      </x:c>
      <x:c r="B28" s="9" t="n">
        <x:v>3</x:v>
      </x:c>
    </x:row>
    <x:row r="29" ht="21" customHeight="1">
      <x:c r="A29" s="3" t="str">
        <x:v>ignore_weak_market</x:v>
      </x:c>
      <x:c r="B29" s="1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a00b0c0b2143d0"/>
  </x:tableParts>
</x:worksheet>
</file>